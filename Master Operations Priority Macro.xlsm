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tang\Documents\Tessa Milligan\"/>
    </mc:Choice>
  </mc:AlternateContent>
  <xr:revisionPtr revIDLastSave="0" documentId="8_{A4180390-43DF-435F-9068-912A41F2279A}" xr6:coauthVersionLast="45" xr6:coauthVersionMax="45" xr10:uidLastSave="{00000000-0000-0000-0000-000000000000}"/>
  <bookViews>
    <workbookView xWindow="-28920" yWindow="-1560" windowWidth="29040" windowHeight="15840" xr2:uid="{AD0B51F5-4AA7-4CE8-9180-B1428F9373C3}"/>
  </bookViews>
  <sheets>
    <sheet name="Executive" sheetId="2" r:id="rId1"/>
    <sheet name="Operations Priority" sheetId="1" r:id="rId2"/>
    <sheet name="Raw Data by WH" sheetId="3" r:id="rId3"/>
    <sheet name="Lookup" sheetId="4" state="hidden" r:id="rId4"/>
  </sheets>
  <definedNames>
    <definedName name="_xlnm._FilterDatabase" localSheetId="1" hidden="1">'Operations Priority'!$C$5:$N$162</definedName>
    <definedName name="ExternalData_1" localSheetId="0" hidden="1">Executive!$A$6:$J$21</definedName>
    <definedName name="ExternalData_1" localSheetId="2" hidden="1">'Raw Data by WH'!$B$1:$N$184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I3" i="2"/>
  <c r="H3" i="2"/>
  <c r="G3" i="2"/>
  <c r="F3" i="2"/>
  <c r="E3" i="2"/>
  <c r="D3" i="2"/>
  <c r="O2" i="3" l="1"/>
  <c r="O3" i="3" s="1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/>
  <c r="O48" i="3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/>
  <c r="O73" i="3" s="1"/>
  <c r="O74" i="3" s="1"/>
  <c r="O75" i="3" s="1"/>
  <c r="O76" i="3" s="1"/>
  <c r="O77" i="3"/>
  <c r="O78" i="3"/>
  <c r="O79" i="3" s="1"/>
  <c r="O80" i="3"/>
  <c r="O81" i="3" s="1"/>
  <c r="O82" i="3" s="1"/>
  <c r="O83" i="3" s="1"/>
  <c r="O84" i="3" s="1"/>
  <c r="O85" i="3"/>
  <c r="O86" i="3"/>
  <c r="O87" i="3" s="1"/>
  <c r="O88" i="3" s="1"/>
  <c r="O89" i="3" s="1"/>
  <c r="O90" i="3" s="1"/>
  <c r="O91" i="3" s="1"/>
  <c r="O92" i="3" s="1"/>
  <c r="O93" i="3" s="1"/>
  <c r="O94" i="3" s="1"/>
  <c r="O95" i="3" s="1"/>
  <c r="O96" i="3"/>
  <c r="O97" i="3" s="1"/>
  <c r="O98" i="3" s="1"/>
  <c r="O99" i="3" s="1"/>
  <c r="O100" i="3" s="1"/>
  <c r="O101" i="3"/>
  <c r="O102" i="3"/>
  <c r="O103" i="3" s="1"/>
  <c r="O104" i="3"/>
  <c r="O105" i="3" s="1"/>
  <c r="O106" i="3" s="1"/>
  <c r="O107" i="3"/>
  <c r="O108" i="3"/>
  <c r="O109" i="3"/>
  <c r="O110" i="3"/>
  <c r="O111" i="3" s="1"/>
  <c r="O112" i="3" s="1"/>
  <c r="O113" i="3" s="1"/>
  <c r="O114" i="3" s="1"/>
  <c r="O115" i="3"/>
  <c r="O116" i="3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/>
  <c r="O129" i="3" s="1"/>
  <c r="O130" i="3" s="1"/>
  <c r="O131" i="3" s="1"/>
  <c r="O132" i="3" s="1"/>
  <c r="O133" i="3"/>
  <c r="O134" i="3" s="1"/>
  <c r="O135" i="3" s="1"/>
  <c r="O136" i="3" s="1"/>
  <c r="O137" i="3" s="1"/>
  <c r="O138" i="3" s="1"/>
  <c r="O139" i="3" s="1"/>
  <c r="O140" i="3" s="1"/>
  <c r="O141" i="3" s="1"/>
  <c r="O142" i="3" s="1"/>
  <c r="O143" i="3"/>
  <c r="O144" i="3"/>
  <c r="O145" i="3" s="1"/>
  <c r="O146" i="3" s="1"/>
  <c r="O147" i="3" s="1"/>
  <c r="O148" i="3" s="1"/>
  <c r="O149" i="3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/>
  <c r="O162" i="3"/>
  <c r="O163" i="3"/>
  <c r="O164" i="3"/>
  <c r="O165" i="3"/>
  <c r="O166" i="3"/>
  <c r="O167" i="3" s="1"/>
  <c r="O168" i="3" s="1"/>
  <c r="O169" i="3" s="1"/>
  <c r="O170" i="3" s="1"/>
  <c r="O171" i="3" s="1"/>
  <c r="O172" i="3"/>
  <c r="O173" i="3" s="1"/>
  <c r="O174" i="3" s="1"/>
  <c r="O175" i="3" s="1"/>
  <c r="O176" i="3"/>
  <c r="O177" i="3" s="1"/>
  <c r="O178" i="3" s="1"/>
  <c r="O179" i="3" s="1"/>
  <c r="O180" i="3" s="1"/>
  <c r="O181" i="3" s="1"/>
  <c r="O182" i="3" s="1"/>
  <c r="O183" i="3" s="1"/>
  <c r="O184" i="3" s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2" i="3"/>
  <c r="A183" i="3" l="1"/>
  <c r="A132" i="3"/>
  <c r="C5" i="1"/>
  <c r="B10" i="1"/>
  <c r="E10" i="1" s="1"/>
  <c r="A12" i="1"/>
  <c r="A13" i="1" s="1"/>
  <c r="A11" i="1"/>
  <c r="B11" i="1" s="1"/>
  <c r="E11" i="1" s="1"/>
  <c r="A14" i="1" l="1"/>
  <c r="B13" i="1"/>
  <c r="E13" i="1" s="1"/>
  <c r="B12" i="1"/>
  <c r="I12" i="1" s="1"/>
  <c r="H11" i="1"/>
  <c r="C11" i="1"/>
  <c r="G10" i="1"/>
  <c r="C12" i="1"/>
  <c r="C10" i="1"/>
  <c r="G11" i="1"/>
  <c r="I13" i="1"/>
  <c r="H12" i="1"/>
  <c r="C13" i="1"/>
  <c r="D13" i="1"/>
  <c r="F10" i="1"/>
  <c r="F13" i="1"/>
  <c r="I11" i="1"/>
  <c r="H10" i="1"/>
  <c r="H13" i="1"/>
  <c r="G13" i="1"/>
  <c r="G12" i="1"/>
  <c r="F12" i="1"/>
  <c r="I10" i="1"/>
  <c r="D10" i="1"/>
  <c r="D11" i="1"/>
  <c r="F11" i="1"/>
  <c r="A184" i="3"/>
  <c r="A133" i="3"/>
  <c r="E12" i="1" l="1"/>
  <c r="D12" i="1"/>
  <c r="A15" i="1"/>
  <c r="B14" i="1"/>
  <c r="A16" i="1" l="1"/>
  <c r="B15" i="1"/>
  <c r="C14" i="1"/>
  <c r="G14" i="1"/>
  <c r="I14" i="1"/>
  <c r="E14" i="1"/>
  <c r="F14" i="1"/>
  <c r="H14" i="1"/>
  <c r="D14" i="1"/>
  <c r="F15" i="1" l="1"/>
  <c r="E15" i="1"/>
  <c r="G15" i="1"/>
  <c r="D15" i="1"/>
  <c r="C15" i="1"/>
  <c r="I15" i="1"/>
  <c r="H15" i="1"/>
  <c r="A17" i="1"/>
  <c r="B16" i="1"/>
  <c r="A18" i="1" l="1"/>
  <c r="B17" i="1"/>
  <c r="E16" i="1"/>
  <c r="F16" i="1"/>
  <c r="D16" i="1"/>
  <c r="C16" i="1"/>
  <c r="H16" i="1"/>
  <c r="G16" i="1"/>
  <c r="I16" i="1"/>
  <c r="G17" i="1" l="1"/>
  <c r="D17" i="1"/>
  <c r="I17" i="1"/>
  <c r="E17" i="1"/>
  <c r="F17" i="1"/>
  <c r="C17" i="1"/>
  <c r="H17" i="1"/>
  <c r="A19" i="1"/>
  <c r="B18" i="1"/>
  <c r="A20" i="1" l="1"/>
  <c r="B19" i="1"/>
  <c r="H18" i="1"/>
  <c r="E18" i="1"/>
  <c r="D18" i="1"/>
  <c r="C18" i="1"/>
  <c r="I18" i="1"/>
  <c r="G18" i="1"/>
  <c r="F18" i="1"/>
  <c r="D19" i="1" l="1"/>
  <c r="F19" i="1"/>
  <c r="E19" i="1"/>
  <c r="H19" i="1"/>
  <c r="G19" i="1"/>
  <c r="C19" i="1"/>
  <c r="I19" i="1"/>
  <c r="A21" i="1"/>
  <c r="B20" i="1"/>
  <c r="A22" i="1" l="1"/>
  <c r="B21" i="1"/>
  <c r="F20" i="1"/>
  <c r="I20" i="1"/>
  <c r="G20" i="1"/>
  <c r="D20" i="1"/>
  <c r="C20" i="1"/>
  <c r="E20" i="1"/>
  <c r="H20" i="1"/>
  <c r="G21" i="1" l="1"/>
  <c r="E21" i="1"/>
  <c r="F21" i="1"/>
  <c r="I21" i="1"/>
  <c r="D21" i="1"/>
  <c r="H21" i="1"/>
  <c r="C21" i="1"/>
  <c r="A23" i="1"/>
  <c r="B22" i="1"/>
  <c r="A24" i="1" l="1"/>
  <c r="B23" i="1"/>
  <c r="F22" i="1"/>
  <c r="D22" i="1"/>
  <c r="G22" i="1"/>
  <c r="H22" i="1"/>
  <c r="E22" i="1"/>
  <c r="C22" i="1"/>
  <c r="I22" i="1"/>
  <c r="G23" i="1" l="1"/>
  <c r="H23" i="1"/>
  <c r="C23" i="1"/>
  <c r="F23" i="1"/>
  <c r="I23" i="1"/>
  <c r="E23" i="1"/>
  <c r="D23" i="1"/>
  <c r="A25" i="1"/>
  <c r="B24" i="1"/>
  <c r="A26" i="1" l="1"/>
  <c r="B25" i="1"/>
  <c r="G24" i="1"/>
  <c r="C24" i="1"/>
  <c r="D24" i="1"/>
  <c r="E24" i="1"/>
  <c r="I24" i="1"/>
  <c r="F24" i="1"/>
  <c r="H24" i="1"/>
  <c r="I25" i="1" l="1"/>
  <c r="E25" i="1"/>
  <c r="F25" i="1"/>
  <c r="C25" i="1"/>
  <c r="H25" i="1"/>
  <c r="G25" i="1"/>
  <c r="D25" i="1"/>
  <c r="A27" i="1"/>
  <c r="B26" i="1"/>
  <c r="A28" i="1" l="1"/>
  <c r="B27" i="1"/>
  <c r="F26" i="1"/>
  <c r="D26" i="1"/>
  <c r="H26" i="1"/>
  <c r="E26" i="1"/>
  <c r="C26" i="1"/>
  <c r="G26" i="1"/>
  <c r="I26" i="1"/>
  <c r="H27" i="1" l="1"/>
  <c r="G27" i="1"/>
  <c r="D27" i="1"/>
  <c r="C27" i="1"/>
  <c r="I27" i="1"/>
  <c r="F27" i="1"/>
  <c r="E27" i="1"/>
  <c r="A29" i="1"/>
  <c r="B28" i="1"/>
  <c r="A30" i="1" l="1"/>
  <c r="B29" i="1"/>
  <c r="C28" i="1"/>
  <c r="I28" i="1"/>
  <c r="D28" i="1"/>
  <c r="F28" i="1"/>
  <c r="E28" i="1"/>
  <c r="G28" i="1"/>
  <c r="H28" i="1"/>
  <c r="H29" i="1" l="1"/>
  <c r="D29" i="1"/>
  <c r="C29" i="1"/>
  <c r="E29" i="1"/>
  <c r="G29" i="1"/>
  <c r="I29" i="1"/>
  <c r="F29" i="1"/>
  <c r="A31" i="1"/>
  <c r="B30" i="1"/>
  <c r="A32" i="1" l="1"/>
  <c r="B31" i="1"/>
  <c r="I30" i="1"/>
  <c r="G30" i="1"/>
  <c r="H30" i="1"/>
  <c r="E30" i="1"/>
  <c r="C30" i="1"/>
  <c r="F30" i="1"/>
  <c r="D30" i="1"/>
  <c r="I31" i="1" l="1"/>
  <c r="F31" i="1"/>
  <c r="G31" i="1"/>
  <c r="H31" i="1"/>
  <c r="C31" i="1"/>
  <c r="E31" i="1"/>
  <c r="D31" i="1"/>
  <c r="A33" i="1"/>
  <c r="B32" i="1"/>
  <c r="A34" i="1" l="1"/>
  <c r="B33" i="1"/>
  <c r="E32" i="1"/>
  <c r="G32" i="1"/>
  <c r="I32" i="1"/>
  <c r="H32" i="1"/>
  <c r="D32" i="1"/>
  <c r="C32" i="1"/>
  <c r="F32" i="1"/>
  <c r="I33" i="1" l="1"/>
  <c r="D33" i="1"/>
  <c r="G33" i="1"/>
  <c r="F33" i="1"/>
  <c r="H33" i="1"/>
  <c r="C33" i="1"/>
  <c r="E33" i="1"/>
  <c r="A35" i="1"/>
  <c r="B34" i="1"/>
  <c r="A36" i="1" l="1"/>
  <c r="B35" i="1"/>
  <c r="E34" i="1"/>
  <c r="D34" i="1"/>
  <c r="F34" i="1"/>
  <c r="G34" i="1"/>
  <c r="H34" i="1"/>
  <c r="I34" i="1"/>
  <c r="C34" i="1"/>
  <c r="D35" i="1" l="1"/>
  <c r="F35" i="1"/>
  <c r="H35" i="1"/>
  <c r="G35" i="1"/>
  <c r="C35" i="1"/>
  <c r="I35" i="1"/>
  <c r="E35" i="1"/>
  <c r="A37" i="1"/>
  <c r="B36" i="1"/>
  <c r="A38" i="1" l="1"/>
  <c r="B37" i="1"/>
  <c r="E36" i="1"/>
  <c r="H36" i="1"/>
  <c r="G36" i="1"/>
  <c r="D36" i="1"/>
  <c r="I36" i="1"/>
  <c r="C36" i="1"/>
  <c r="F36" i="1"/>
  <c r="H37" i="1" l="1"/>
  <c r="G37" i="1"/>
  <c r="I37" i="1"/>
  <c r="F37" i="1"/>
  <c r="D37" i="1"/>
  <c r="C37" i="1"/>
  <c r="E37" i="1"/>
  <c r="B38" i="1"/>
  <c r="A39" i="1"/>
  <c r="D38" i="1" l="1"/>
  <c r="I38" i="1"/>
  <c r="G38" i="1"/>
  <c r="F38" i="1"/>
  <c r="H38" i="1"/>
  <c r="E38" i="1"/>
  <c r="C38" i="1"/>
  <c r="A40" i="1"/>
  <c r="B39" i="1"/>
  <c r="B40" i="1" l="1"/>
  <c r="A41" i="1"/>
  <c r="I39" i="1"/>
  <c r="F39" i="1"/>
  <c r="C39" i="1"/>
  <c r="E39" i="1"/>
  <c r="G39" i="1"/>
  <c r="D39" i="1"/>
  <c r="H39" i="1"/>
  <c r="A42" i="1" l="1"/>
  <c r="B41" i="1"/>
  <c r="H40" i="1"/>
  <c r="D40" i="1"/>
  <c r="E40" i="1"/>
  <c r="C40" i="1"/>
  <c r="G40" i="1"/>
  <c r="F40" i="1"/>
  <c r="I40" i="1"/>
  <c r="I41" i="1" l="1"/>
  <c r="G41" i="1"/>
  <c r="H41" i="1"/>
  <c r="E41" i="1"/>
  <c r="D41" i="1"/>
  <c r="C41" i="1"/>
  <c r="F41" i="1"/>
  <c r="B42" i="1"/>
  <c r="A43" i="1"/>
  <c r="D42" i="1" l="1"/>
  <c r="C42" i="1"/>
  <c r="G42" i="1"/>
  <c r="F42" i="1"/>
  <c r="E42" i="1"/>
  <c r="I42" i="1"/>
  <c r="H42" i="1"/>
  <c r="A44" i="1"/>
  <c r="B43" i="1"/>
  <c r="B44" i="1" l="1"/>
  <c r="A45" i="1"/>
  <c r="E43" i="1"/>
  <c r="F43" i="1"/>
  <c r="I43" i="1"/>
  <c r="D43" i="1"/>
  <c r="C43" i="1"/>
  <c r="G43" i="1"/>
  <c r="H43" i="1"/>
  <c r="B45" i="1" l="1"/>
  <c r="A46" i="1"/>
  <c r="I44" i="1"/>
  <c r="D44" i="1"/>
  <c r="G44" i="1"/>
  <c r="F44" i="1"/>
  <c r="E44" i="1"/>
  <c r="H44" i="1"/>
  <c r="C44" i="1"/>
  <c r="A47" i="1" l="1"/>
  <c r="B46" i="1"/>
  <c r="D45" i="1"/>
  <c r="H45" i="1"/>
  <c r="G45" i="1"/>
  <c r="C45" i="1"/>
  <c r="F45" i="1"/>
  <c r="I45" i="1"/>
  <c r="E45" i="1"/>
  <c r="G46" i="1" l="1"/>
  <c r="F46" i="1"/>
  <c r="D46" i="1"/>
  <c r="I46" i="1"/>
  <c r="C46" i="1"/>
  <c r="H46" i="1"/>
  <c r="E46" i="1"/>
  <c r="B47" i="1"/>
  <c r="A48" i="1"/>
  <c r="F47" i="1" l="1"/>
  <c r="G47" i="1"/>
  <c r="E47" i="1"/>
  <c r="C47" i="1"/>
  <c r="D47" i="1"/>
  <c r="H47" i="1"/>
  <c r="I47" i="1"/>
  <c r="B48" i="1"/>
  <c r="A49" i="1"/>
  <c r="E48" i="1" l="1"/>
  <c r="I48" i="1"/>
  <c r="D48" i="1"/>
  <c r="H48" i="1"/>
  <c r="F48" i="1"/>
  <c r="G48" i="1"/>
  <c r="C48" i="1"/>
  <c r="B49" i="1"/>
  <c r="A50" i="1"/>
  <c r="D49" i="1" l="1"/>
  <c r="G49" i="1"/>
  <c r="I49" i="1"/>
  <c r="F49" i="1"/>
  <c r="E49" i="1"/>
  <c r="H49" i="1"/>
  <c r="C49" i="1"/>
  <c r="B50" i="1"/>
  <c r="A51" i="1"/>
  <c r="F50" i="1" l="1"/>
  <c r="H50" i="1"/>
  <c r="I50" i="1"/>
  <c r="E50" i="1"/>
  <c r="G50" i="1"/>
  <c r="C50" i="1"/>
  <c r="D50" i="1"/>
  <c r="A52" i="1"/>
  <c r="B51" i="1"/>
  <c r="B52" i="1" l="1"/>
  <c r="A53" i="1"/>
  <c r="C51" i="1"/>
  <c r="E51" i="1"/>
  <c r="H51" i="1"/>
  <c r="I51" i="1"/>
  <c r="F51" i="1"/>
  <c r="G51" i="1"/>
  <c r="D51" i="1"/>
  <c r="A54" i="1" l="1"/>
  <c r="B53" i="1"/>
  <c r="H52" i="1"/>
  <c r="F52" i="1"/>
  <c r="C52" i="1"/>
  <c r="D52" i="1"/>
  <c r="E52" i="1"/>
  <c r="I52" i="1"/>
  <c r="G52" i="1"/>
  <c r="D53" i="1" l="1"/>
  <c r="F53" i="1"/>
  <c r="I53" i="1"/>
  <c r="G53" i="1"/>
  <c r="H53" i="1"/>
  <c r="C53" i="1"/>
  <c r="E53" i="1"/>
  <c r="B54" i="1"/>
  <c r="A55" i="1"/>
  <c r="D54" i="1" l="1"/>
  <c r="I54" i="1"/>
  <c r="E54" i="1"/>
  <c r="G54" i="1"/>
  <c r="C54" i="1"/>
  <c r="F54" i="1"/>
  <c r="H54" i="1"/>
  <c r="A56" i="1"/>
  <c r="B55" i="1"/>
  <c r="B56" i="1" l="1"/>
  <c r="A57" i="1"/>
  <c r="C55" i="1"/>
  <c r="E55" i="1"/>
  <c r="D55" i="1"/>
  <c r="H55" i="1"/>
  <c r="G55" i="1"/>
  <c r="I55" i="1"/>
  <c r="F55" i="1"/>
  <c r="A58" i="1" l="1"/>
  <c r="B57" i="1"/>
  <c r="I56" i="1"/>
  <c r="G56" i="1"/>
  <c r="C56" i="1"/>
  <c r="E56" i="1"/>
  <c r="F56" i="1"/>
  <c r="H56" i="1"/>
  <c r="D56" i="1"/>
  <c r="I57" i="1" l="1"/>
  <c r="E57" i="1"/>
  <c r="C57" i="1"/>
  <c r="F57" i="1"/>
  <c r="G57" i="1"/>
  <c r="D57" i="1"/>
  <c r="H57" i="1"/>
  <c r="B58" i="1"/>
  <c r="A59" i="1"/>
  <c r="E58" i="1" l="1"/>
  <c r="I58" i="1"/>
  <c r="C58" i="1"/>
  <c r="H58" i="1"/>
  <c r="G58" i="1"/>
  <c r="D58" i="1"/>
  <c r="F58" i="1"/>
  <c r="B59" i="1"/>
  <c r="A60" i="1"/>
  <c r="C59" i="1" l="1"/>
  <c r="G59" i="1"/>
  <c r="H59" i="1"/>
  <c r="I59" i="1"/>
  <c r="F59" i="1"/>
  <c r="E59" i="1"/>
  <c r="D59" i="1"/>
  <c r="B60" i="1"/>
  <c r="A61" i="1"/>
  <c r="I60" i="1" l="1"/>
  <c r="C60" i="1"/>
  <c r="D60" i="1"/>
  <c r="H60" i="1"/>
  <c r="G60" i="1"/>
  <c r="F60" i="1"/>
  <c r="E60" i="1"/>
  <c r="A62" i="1"/>
  <c r="B61" i="1"/>
  <c r="B62" i="1" l="1"/>
  <c r="A63" i="1"/>
  <c r="E61" i="1"/>
  <c r="F61" i="1"/>
  <c r="C61" i="1"/>
  <c r="I61" i="1"/>
  <c r="H61" i="1"/>
  <c r="G61" i="1"/>
  <c r="D61" i="1"/>
  <c r="B63" i="1" l="1"/>
  <c r="A64" i="1"/>
  <c r="I62" i="1"/>
  <c r="G62" i="1"/>
  <c r="E62" i="1"/>
  <c r="C62" i="1"/>
  <c r="D62" i="1"/>
  <c r="H62" i="1"/>
  <c r="F62" i="1"/>
  <c r="A65" i="1" l="1"/>
  <c r="B64" i="1"/>
  <c r="D63" i="1"/>
  <c r="G63" i="1"/>
  <c r="F63" i="1"/>
  <c r="E63" i="1"/>
  <c r="C63" i="1"/>
  <c r="I63" i="1"/>
  <c r="H63" i="1"/>
  <c r="E64" i="1" l="1"/>
  <c r="I64" i="1"/>
  <c r="G64" i="1"/>
  <c r="D64" i="1"/>
  <c r="F64" i="1"/>
  <c r="C64" i="1"/>
  <c r="H64" i="1"/>
  <c r="A66" i="1"/>
  <c r="B65" i="1"/>
  <c r="B66" i="1" l="1"/>
  <c r="A67" i="1"/>
  <c r="F65" i="1"/>
  <c r="D65" i="1"/>
  <c r="G65" i="1"/>
  <c r="C65" i="1"/>
  <c r="I65" i="1"/>
  <c r="E65" i="1"/>
  <c r="H65" i="1"/>
  <c r="B67" i="1" l="1"/>
  <c r="A68" i="1"/>
  <c r="E66" i="1"/>
  <c r="D66" i="1"/>
  <c r="C66" i="1"/>
  <c r="I66" i="1"/>
  <c r="G66" i="1"/>
  <c r="H66" i="1"/>
  <c r="F66" i="1"/>
  <c r="B68" i="1" l="1"/>
  <c r="A69" i="1"/>
  <c r="G67" i="1"/>
  <c r="C67" i="1"/>
  <c r="E67" i="1"/>
  <c r="H67" i="1"/>
  <c r="D67" i="1"/>
  <c r="I67" i="1"/>
  <c r="F67" i="1"/>
  <c r="B69" i="1" l="1"/>
  <c r="A70" i="1"/>
  <c r="G68" i="1"/>
  <c r="H68" i="1"/>
  <c r="D68" i="1"/>
  <c r="E68" i="1"/>
  <c r="F68" i="1"/>
  <c r="C68" i="1"/>
  <c r="I68" i="1"/>
  <c r="B70" i="1" l="1"/>
  <c r="A71" i="1"/>
  <c r="F69" i="1"/>
  <c r="C69" i="1"/>
  <c r="I69" i="1"/>
  <c r="E69" i="1"/>
  <c r="G69" i="1"/>
  <c r="H69" i="1"/>
  <c r="D69" i="1"/>
  <c r="A72" i="1" l="1"/>
  <c r="B71" i="1"/>
  <c r="I70" i="1"/>
  <c r="F70" i="1"/>
  <c r="E70" i="1"/>
  <c r="H70" i="1"/>
  <c r="G70" i="1"/>
  <c r="D70" i="1"/>
  <c r="C70" i="1"/>
  <c r="G71" i="1" l="1"/>
  <c r="E71" i="1"/>
  <c r="C71" i="1"/>
  <c r="D71" i="1"/>
  <c r="H71" i="1"/>
  <c r="I71" i="1"/>
  <c r="F71" i="1"/>
  <c r="B72" i="1"/>
  <c r="A73" i="1"/>
  <c r="E72" i="1" l="1"/>
  <c r="G72" i="1"/>
  <c r="H72" i="1"/>
  <c r="F72" i="1"/>
  <c r="D72" i="1"/>
  <c r="I72" i="1"/>
  <c r="C72" i="1"/>
  <c r="B73" i="1"/>
  <c r="A74" i="1"/>
  <c r="D73" i="1" l="1"/>
  <c r="E73" i="1"/>
  <c r="C73" i="1"/>
  <c r="F73" i="1"/>
  <c r="G73" i="1"/>
  <c r="H73" i="1"/>
  <c r="I73" i="1"/>
  <c r="B74" i="1"/>
  <c r="A75" i="1"/>
  <c r="G74" i="1" l="1"/>
  <c r="H74" i="1"/>
  <c r="E74" i="1"/>
  <c r="I74" i="1"/>
  <c r="C74" i="1"/>
  <c r="D74" i="1"/>
  <c r="F74" i="1"/>
  <c r="A76" i="1"/>
  <c r="B75" i="1"/>
  <c r="B76" i="1" l="1"/>
  <c r="A77" i="1"/>
  <c r="E75" i="1"/>
  <c r="H75" i="1"/>
  <c r="D75" i="1"/>
  <c r="F75" i="1"/>
  <c r="I75" i="1"/>
  <c r="C75" i="1"/>
  <c r="G75" i="1"/>
  <c r="B77" i="1" l="1"/>
  <c r="A78" i="1"/>
  <c r="H76" i="1"/>
  <c r="G76" i="1"/>
  <c r="E76" i="1"/>
  <c r="I76" i="1"/>
  <c r="D76" i="1"/>
  <c r="C76" i="1"/>
  <c r="F76" i="1"/>
  <c r="B78" i="1" l="1"/>
  <c r="A79" i="1"/>
  <c r="E77" i="1"/>
  <c r="I77" i="1"/>
  <c r="G77" i="1"/>
  <c r="D77" i="1"/>
  <c r="H77" i="1"/>
  <c r="C77" i="1"/>
  <c r="F77" i="1"/>
  <c r="A80" i="1" l="1"/>
  <c r="B79" i="1"/>
  <c r="H78" i="1"/>
  <c r="D78" i="1"/>
  <c r="E78" i="1"/>
  <c r="C78" i="1"/>
  <c r="F78" i="1"/>
  <c r="G78" i="1"/>
  <c r="I78" i="1"/>
  <c r="G79" i="1" l="1"/>
  <c r="D79" i="1"/>
  <c r="H79" i="1"/>
  <c r="I79" i="1"/>
  <c r="F79" i="1"/>
  <c r="E79" i="1"/>
  <c r="C79" i="1"/>
  <c r="B80" i="1"/>
  <c r="A81" i="1"/>
  <c r="I80" i="1" l="1"/>
  <c r="C80" i="1"/>
  <c r="F80" i="1"/>
  <c r="E80" i="1"/>
  <c r="H80" i="1"/>
  <c r="D80" i="1"/>
  <c r="G80" i="1"/>
  <c r="B81" i="1"/>
  <c r="A82" i="1"/>
  <c r="F81" i="1" l="1"/>
  <c r="G81" i="1"/>
  <c r="I81" i="1"/>
  <c r="E81" i="1"/>
  <c r="C81" i="1"/>
  <c r="H81" i="1"/>
  <c r="D81" i="1"/>
  <c r="B82" i="1"/>
  <c r="A83" i="1"/>
  <c r="I82" i="1" l="1"/>
  <c r="F82" i="1"/>
  <c r="H82" i="1"/>
  <c r="G82" i="1"/>
  <c r="D82" i="1"/>
  <c r="E82" i="1"/>
  <c r="C82" i="1"/>
  <c r="A84" i="1"/>
  <c r="B83" i="1"/>
  <c r="B84" i="1" l="1"/>
  <c r="A85" i="1"/>
  <c r="F83" i="1"/>
  <c r="C83" i="1"/>
  <c r="E83" i="1"/>
  <c r="H83" i="1"/>
  <c r="D83" i="1"/>
  <c r="I83" i="1"/>
  <c r="G83" i="1"/>
  <c r="B85" i="1" l="1"/>
  <c r="A86" i="1"/>
  <c r="F84" i="1"/>
  <c r="I84" i="1"/>
  <c r="G84" i="1"/>
  <c r="E84" i="1"/>
  <c r="D84" i="1"/>
  <c r="H84" i="1"/>
  <c r="C84" i="1"/>
  <c r="B86" i="1" l="1"/>
  <c r="A87" i="1"/>
  <c r="I85" i="1"/>
  <c r="E85" i="1"/>
  <c r="C85" i="1"/>
  <c r="G85" i="1"/>
  <c r="D85" i="1"/>
  <c r="H85" i="1"/>
  <c r="F85" i="1"/>
  <c r="A88" i="1" l="1"/>
  <c r="B87" i="1"/>
  <c r="D86" i="1"/>
  <c r="C86" i="1"/>
  <c r="I86" i="1"/>
  <c r="E86" i="1"/>
  <c r="F86" i="1"/>
  <c r="H86" i="1"/>
  <c r="G86" i="1"/>
  <c r="F87" i="1" l="1"/>
  <c r="H87" i="1"/>
  <c r="G87" i="1"/>
  <c r="E87" i="1"/>
  <c r="C87" i="1"/>
  <c r="I87" i="1"/>
  <c r="D87" i="1"/>
  <c r="B88" i="1"/>
  <c r="A89" i="1"/>
  <c r="H88" i="1" l="1"/>
  <c r="I88" i="1"/>
  <c r="C88" i="1"/>
  <c r="F88" i="1"/>
  <c r="D88" i="1"/>
  <c r="E88" i="1"/>
  <c r="G88" i="1"/>
  <c r="B89" i="1"/>
  <c r="A90" i="1"/>
  <c r="H89" i="1" l="1"/>
  <c r="E89" i="1"/>
  <c r="D89" i="1"/>
  <c r="I89" i="1"/>
  <c r="F89" i="1"/>
  <c r="G89" i="1"/>
  <c r="C89" i="1"/>
  <c r="B90" i="1"/>
  <c r="A91" i="1"/>
  <c r="I90" i="1" l="1"/>
  <c r="C90" i="1"/>
  <c r="E90" i="1"/>
  <c r="F90" i="1"/>
  <c r="G90" i="1"/>
  <c r="H90" i="1"/>
  <c r="D90" i="1"/>
  <c r="B91" i="1"/>
  <c r="A92" i="1"/>
  <c r="G91" i="1" l="1"/>
  <c r="I91" i="1"/>
  <c r="F91" i="1"/>
  <c r="C91" i="1"/>
  <c r="D91" i="1"/>
  <c r="H91" i="1"/>
  <c r="E91" i="1"/>
  <c r="B92" i="1"/>
  <c r="A93" i="1"/>
  <c r="C92" i="1" l="1"/>
  <c r="H92" i="1"/>
  <c r="F92" i="1"/>
  <c r="G92" i="1"/>
  <c r="I92" i="1"/>
  <c r="E92" i="1"/>
  <c r="D92" i="1"/>
  <c r="B93" i="1"/>
  <c r="A94" i="1"/>
  <c r="C93" i="1" l="1"/>
  <c r="E93" i="1"/>
  <c r="I93" i="1"/>
  <c r="G93" i="1"/>
  <c r="D93" i="1"/>
  <c r="H93" i="1"/>
  <c r="F93" i="1"/>
  <c r="B94" i="1"/>
  <c r="A95" i="1"/>
  <c r="E94" i="1" l="1"/>
  <c r="F94" i="1"/>
  <c r="D94" i="1"/>
  <c r="C94" i="1"/>
  <c r="I94" i="1"/>
  <c r="G94" i="1"/>
  <c r="H94" i="1"/>
  <c r="A96" i="1"/>
  <c r="B95" i="1"/>
  <c r="B96" i="1" l="1"/>
  <c r="A97" i="1"/>
  <c r="D95" i="1"/>
  <c r="F95" i="1"/>
  <c r="C95" i="1"/>
  <c r="E95" i="1"/>
  <c r="G95" i="1"/>
  <c r="I95" i="1"/>
  <c r="H95" i="1"/>
  <c r="B97" i="1" l="1"/>
  <c r="A98" i="1"/>
  <c r="G96" i="1"/>
  <c r="F96" i="1"/>
  <c r="D96" i="1"/>
  <c r="I96" i="1"/>
  <c r="C96" i="1"/>
  <c r="H96" i="1"/>
  <c r="E96" i="1"/>
  <c r="B98" i="1" l="1"/>
  <c r="A99" i="1"/>
  <c r="D97" i="1"/>
  <c r="I97" i="1"/>
  <c r="H97" i="1"/>
  <c r="G97" i="1"/>
  <c r="F97" i="1"/>
  <c r="E97" i="1"/>
  <c r="C97" i="1"/>
  <c r="A100" i="1" l="1"/>
  <c r="B99" i="1"/>
  <c r="G98" i="1"/>
  <c r="I98" i="1"/>
  <c r="D98" i="1"/>
  <c r="C98" i="1"/>
  <c r="H98" i="1"/>
  <c r="F98" i="1"/>
  <c r="E98" i="1"/>
  <c r="C99" i="1" l="1"/>
  <c r="E99" i="1"/>
  <c r="D99" i="1"/>
  <c r="I99" i="1"/>
  <c r="H99" i="1"/>
  <c r="G99" i="1"/>
  <c r="F99" i="1"/>
  <c r="B100" i="1"/>
  <c r="A101" i="1"/>
  <c r="F100" i="1" l="1"/>
  <c r="E100" i="1"/>
  <c r="C100" i="1"/>
  <c r="I100" i="1"/>
  <c r="D100" i="1"/>
  <c r="G100" i="1"/>
  <c r="H100" i="1"/>
  <c r="A102" i="1"/>
  <c r="B101" i="1"/>
  <c r="A103" i="1" l="1"/>
  <c r="B102" i="1"/>
  <c r="E101" i="1"/>
  <c r="D101" i="1"/>
  <c r="H101" i="1"/>
  <c r="F101" i="1"/>
  <c r="G101" i="1"/>
  <c r="I101" i="1"/>
  <c r="C101" i="1"/>
  <c r="I102" i="1" l="1"/>
  <c r="F102" i="1"/>
  <c r="G102" i="1"/>
  <c r="D102" i="1"/>
  <c r="H102" i="1"/>
  <c r="C102" i="1"/>
  <c r="E102" i="1"/>
  <c r="A104" i="1"/>
  <c r="B103" i="1"/>
  <c r="B104" i="1" l="1"/>
  <c r="A105" i="1"/>
  <c r="D103" i="1"/>
  <c r="E103" i="1"/>
  <c r="F103" i="1"/>
  <c r="C103" i="1"/>
  <c r="H103" i="1"/>
  <c r="I103" i="1"/>
  <c r="G103" i="1"/>
  <c r="A106" i="1" l="1"/>
  <c r="B105" i="1"/>
  <c r="H104" i="1"/>
  <c r="F104" i="1"/>
  <c r="C104" i="1"/>
  <c r="D104" i="1"/>
  <c r="E104" i="1"/>
  <c r="G104" i="1"/>
  <c r="I104" i="1"/>
  <c r="D105" i="1" l="1"/>
  <c r="E105" i="1"/>
  <c r="I105" i="1"/>
  <c r="G105" i="1"/>
  <c r="F105" i="1"/>
  <c r="H105" i="1"/>
  <c r="C105" i="1"/>
  <c r="B106" i="1"/>
  <c r="A107" i="1"/>
  <c r="D106" i="1" l="1"/>
  <c r="I106" i="1"/>
  <c r="G106" i="1"/>
  <c r="E106" i="1"/>
  <c r="C106" i="1"/>
  <c r="H106" i="1"/>
  <c r="F106" i="1"/>
  <c r="A108" i="1"/>
  <c r="B107" i="1"/>
  <c r="B108" i="1" l="1"/>
  <c r="A109" i="1"/>
  <c r="F107" i="1"/>
  <c r="G107" i="1"/>
  <c r="H107" i="1"/>
  <c r="E107" i="1"/>
  <c r="I107" i="1"/>
  <c r="D107" i="1"/>
  <c r="C107" i="1"/>
  <c r="B109" i="1" l="1"/>
  <c r="A110" i="1"/>
  <c r="I108" i="1"/>
  <c r="D108" i="1"/>
  <c r="C108" i="1"/>
  <c r="E108" i="1"/>
  <c r="G108" i="1"/>
  <c r="H108" i="1"/>
  <c r="F108" i="1"/>
  <c r="B110" i="1" l="1"/>
  <c r="A111" i="1"/>
  <c r="E109" i="1"/>
  <c r="D109" i="1"/>
  <c r="H109" i="1"/>
  <c r="I109" i="1"/>
  <c r="F109" i="1"/>
  <c r="G109" i="1"/>
  <c r="C109" i="1"/>
  <c r="A112" i="1" l="1"/>
  <c r="B111" i="1"/>
  <c r="G110" i="1"/>
  <c r="H110" i="1"/>
  <c r="F110" i="1"/>
  <c r="D110" i="1"/>
  <c r="E110" i="1"/>
  <c r="I110" i="1"/>
  <c r="C110" i="1"/>
  <c r="E111" i="1" l="1"/>
  <c r="I111" i="1"/>
  <c r="H111" i="1"/>
  <c r="D111" i="1"/>
  <c r="G111" i="1"/>
  <c r="C111" i="1"/>
  <c r="F111" i="1"/>
  <c r="A113" i="1"/>
  <c r="B112" i="1"/>
  <c r="B113" i="1" l="1"/>
  <c r="A114" i="1"/>
  <c r="I112" i="1"/>
  <c r="C112" i="1"/>
  <c r="G112" i="1"/>
  <c r="E112" i="1"/>
  <c r="D112" i="1"/>
  <c r="F112" i="1"/>
  <c r="H112" i="1"/>
  <c r="B114" i="1" l="1"/>
  <c r="A115" i="1"/>
  <c r="I113" i="1"/>
  <c r="C113" i="1"/>
  <c r="H113" i="1"/>
  <c r="F113" i="1"/>
  <c r="E113" i="1"/>
  <c r="D113" i="1"/>
  <c r="G113" i="1"/>
  <c r="A116" i="1" l="1"/>
  <c r="B115" i="1"/>
  <c r="G114" i="1"/>
  <c r="D114" i="1"/>
  <c r="F114" i="1"/>
  <c r="I114" i="1"/>
  <c r="C114" i="1"/>
  <c r="H114" i="1"/>
  <c r="E114" i="1"/>
  <c r="C115" i="1" l="1"/>
  <c r="H115" i="1"/>
  <c r="F115" i="1"/>
  <c r="G115" i="1"/>
  <c r="I115" i="1"/>
  <c r="D115" i="1"/>
  <c r="E115" i="1"/>
  <c r="B116" i="1"/>
  <c r="A117" i="1"/>
  <c r="I116" i="1" l="1"/>
  <c r="C116" i="1"/>
  <c r="D116" i="1"/>
  <c r="E116" i="1"/>
  <c r="F116" i="1"/>
  <c r="H116" i="1"/>
  <c r="G116" i="1"/>
  <c r="B117" i="1"/>
  <c r="A118" i="1"/>
  <c r="G117" i="1" l="1"/>
  <c r="F117" i="1"/>
  <c r="D117" i="1"/>
  <c r="E117" i="1"/>
  <c r="I117" i="1"/>
  <c r="H117" i="1"/>
  <c r="C117" i="1"/>
  <c r="B118" i="1"/>
  <c r="A119" i="1"/>
  <c r="I118" i="1" l="1"/>
  <c r="F118" i="1"/>
  <c r="C118" i="1"/>
  <c r="D118" i="1"/>
  <c r="G118" i="1"/>
  <c r="E118" i="1"/>
  <c r="H118" i="1"/>
  <c r="B119" i="1"/>
  <c r="A120" i="1"/>
  <c r="H119" i="1" l="1"/>
  <c r="G119" i="1"/>
  <c r="E119" i="1"/>
  <c r="F119" i="1"/>
  <c r="C119" i="1"/>
  <c r="I119" i="1"/>
  <c r="D119" i="1"/>
  <c r="A121" i="1"/>
  <c r="B120" i="1"/>
  <c r="A122" i="1" l="1"/>
  <c r="B121" i="1"/>
  <c r="G120" i="1"/>
  <c r="D120" i="1"/>
  <c r="E120" i="1"/>
  <c r="I120" i="1"/>
  <c r="F120" i="1"/>
  <c r="C120" i="1"/>
  <c r="H120" i="1"/>
  <c r="G121" i="1" l="1"/>
  <c r="F121" i="1"/>
  <c r="H121" i="1"/>
  <c r="I121" i="1"/>
  <c r="E121" i="1"/>
  <c r="D121" i="1"/>
  <c r="C121" i="1"/>
  <c r="A123" i="1"/>
  <c r="B122" i="1"/>
  <c r="B123" i="1" l="1"/>
  <c r="A124" i="1"/>
  <c r="F122" i="1"/>
  <c r="E122" i="1"/>
  <c r="D122" i="1"/>
  <c r="I122" i="1"/>
  <c r="H122" i="1"/>
  <c r="C122" i="1"/>
  <c r="G122" i="1"/>
  <c r="A125" i="1" l="1"/>
  <c r="B124" i="1"/>
  <c r="C123" i="1"/>
  <c r="E123" i="1"/>
  <c r="D123" i="1"/>
  <c r="G123" i="1"/>
  <c r="I123" i="1"/>
  <c r="F123" i="1"/>
  <c r="H123" i="1"/>
  <c r="F124" i="1" l="1"/>
  <c r="E124" i="1"/>
  <c r="H124" i="1"/>
  <c r="D124" i="1"/>
  <c r="G124" i="1"/>
  <c r="C124" i="1"/>
  <c r="I124" i="1"/>
  <c r="B125" i="1"/>
  <c r="A126" i="1"/>
  <c r="E125" i="1" l="1"/>
  <c r="I125" i="1"/>
  <c r="G125" i="1"/>
  <c r="H125" i="1"/>
  <c r="F125" i="1"/>
  <c r="C125" i="1"/>
  <c r="D125" i="1"/>
  <c r="B126" i="1"/>
  <c r="A127" i="1"/>
  <c r="D126" i="1" l="1"/>
  <c r="I126" i="1"/>
  <c r="H126" i="1"/>
  <c r="C126" i="1"/>
  <c r="G126" i="1"/>
  <c r="E126" i="1"/>
  <c r="F126" i="1"/>
  <c r="B127" i="1"/>
  <c r="A128" i="1"/>
  <c r="G127" i="1" l="1"/>
  <c r="I127" i="1"/>
  <c r="E127" i="1"/>
  <c r="H127" i="1"/>
  <c r="F127" i="1"/>
  <c r="D127" i="1"/>
  <c r="C127" i="1"/>
  <c r="B128" i="1"/>
  <c r="A129" i="1"/>
  <c r="C128" i="1" l="1"/>
  <c r="D128" i="1"/>
  <c r="I128" i="1"/>
  <c r="H128" i="1"/>
  <c r="G128" i="1"/>
  <c r="F128" i="1"/>
  <c r="E128" i="1"/>
  <c r="B129" i="1"/>
  <c r="A130" i="1"/>
  <c r="I129" i="1" l="1"/>
  <c r="G129" i="1"/>
  <c r="C129" i="1"/>
  <c r="E129" i="1"/>
  <c r="D129" i="1"/>
  <c r="H129" i="1"/>
  <c r="F129" i="1"/>
  <c r="B130" i="1"/>
  <c r="A131" i="1"/>
  <c r="D130" i="1" l="1"/>
  <c r="H130" i="1"/>
  <c r="G130" i="1"/>
  <c r="E130" i="1"/>
  <c r="C130" i="1"/>
  <c r="I130" i="1"/>
  <c r="F130" i="1"/>
  <c r="B131" i="1"/>
  <c r="A132" i="1"/>
  <c r="E131" i="1" l="1"/>
  <c r="H131" i="1"/>
  <c r="G131" i="1"/>
  <c r="F131" i="1"/>
  <c r="I131" i="1"/>
  <c r="D131" i="1"/>
  <c r="C131" i="1"/>
  <c r="A133" i="1"/>
  <c r="B132" i="1"/>
  <c r="A134" i="1" l="1"/>
  <c r="B133" i="1"/>
  <c r="E132" i="1"/>
  <c r="D132" i="1"/>
  <c r="G132" i="1"/>
  <c r="F132" i="1"/>
  <c r="I132" i="1"/>
  <c r="H132" i="1"/>
  <c r="C132" i="1"/>
  <c r="D133" i="1" l="1"/>
  <c r="C133" i="1"/>
  <c r="F133" i="1"/>
  <c r="E133" i="1"/>
  <c r="I133" i="1"/>
  <c r="H133" i="1"/>
  <c r="G133" i="1"/>
  <c r="B134" i="1"/>
  <c r="A135" i="1"/>
  <c r="I134" i="1" l="1"/>
  <c r="C134" i="1"/>
  <c r="E134" i="1"/>
  <c r="G134" i="1"/>
  <c r="D134" i="1"/>
  <c r="F134" i="1"/>
  <c r="H134" i="1"/>
  <c r="A136" i="1"/>
  <c r="B135" i="1"/>
  <c r="B136" i="1" l="1"/>
  <c r="A137" i="1"/>
  <c r="I135" i="1"/>
  <c r="F135" i="1"/>
  <c r="G135" i="1"/>
  <c r="C135" i="1"/>
  <c r="E135" i="1"/>
  <c r="D135" i="1"/>
  <c r="H135" i="1"/>
  <c r="B137" i="1" l="1"/>
  <c r="A138" i="1"/>
  <c r="F136" i="1"/>
  <c r="G136" i="1"/>
  <c r="D136" i="1"/>
  <c r="H136" i="1"/>
  <c r="E136" i="1"/>
  <c r="I136" i="1"/>
  <c r="C136" i="1"/>
  <c r="B138" i="1" l="1"/>
  <c r="A139" i="1"/>
  <c r="I137" i="1"/>
  <c r="D137" i="1"/>
  <c r="G137" i="1"/>
  <c r="F137" i="1"/>
  <c r="H137" i="1"/>
  <c r="E137" i="1"/>
  <c r="C137" i="1"/>
  <c r="B139" i="1" l="1"/>
  <c r="A140" i="1"/>
  <c r="D138" i="1"/>
  <c r="G138" i="1"/>
  <c r="E138" i="1"/>
  <c r="F138" i="1"/>
  <c r="H138" i="1"/>
  <c r="C138" i="1"/>
  <c r="I138" i="1"/>
  <c r="B140" i="1" l="1"/>
  <c r="A141" i="1"/>
  <c r="G139" i="1"/>
  <c r="C139" i="1"/>
  <c r="I139" i="1"/>
  <c r="E139" i="1"/>
  <c r="D139" i="1"/>
  <c r="F139" i="1"/>
  <c r="H139" i="1"/>
  <c r="B141" i="1" l="1"/>
  <c r="A142" i="1"/>
  <c r="C140" i="1"/>
  <c r="D140" i="1"/>
  <c r="G140" i="1"/>
  <c r="H140" i="1"/>
  <c r="E140" i="1"/>
  <c r="I140" i="1"/>
  <c r="F140" i="1"/>
  <c r="B142" i="1" l="1"/>
  <c r="A143" i="1"/>
  <c r="D141" i="1"/>
  <c r="F141" i="1"/>
  <c r="H141" i="1"/>
  <c r="I141" i="1"/>
  <c r="C141" i="1"/>
  <c r="E141" i="1"/>
  <c r="G141" i="1"/>
  <c r="B143" i="1" l="1"/>
  <c r="A144" i="1"/>
  <c r="H142" i="1"/>
  <c r="E142" i="1"/>
  <c r="I142" i="1"/>
  <c r="D142" i="1"/>
  <c r="C142" i="1"/>
  <c r="F142" i="1"/>
  <c r="G142" i="1"/>
  <c r="B144" i="1" l="1"/>
  <c r="A145" i="1"/>
  <c r="F143" i="1"/>
  <c r="G143" i="1"/>
  <c r="E143" i="1"/>
  <c r="I143" i="1"/>
  <c r="C143" i="1"/>
  <c r="H143" i="1"/>
  <c r="D143" i="1"/>
  <c r="B145" i="1" l="1"/>
  <c r="A146" i="1"/>
  <c r="D144" i="1"/>
  <c r="F144" i="1"/>
  <c r="E144" i="1"/>
  <c r="G144" i="1"/>
  <c r="C144" i="1"/>
  <c r="I144" i="1"/>
  <c r="H144" i="1"/>
  <c r="A147" i="1" l="1"/>
  <c r="B146" i="1"/>
  <c r="H145" i="1"/>
  <c r="I145" i="1"/>
  <c r="C145" i="1"/>
  <c r="D145" i="1"/>
  <c r="G145" i="1"/>
  <c r="E145" i="1"/>
  <c r="F145" i="1"/>
  <c r="I146" i="1" l="1"/>
  <c r="E146" i="1"/>
  <c r="G146" i="1"/>
  <c r="C146" i="1"/>
  <c r="D146" i="1"/>
  <c r="H146" i="1"/>
  <c r="F146" i="1"/>
  <c r="A148" i="1"/>
  <c r="B147" i="1"/>
  <c r="B148" i="1" l="1"/>
  <c r="A149" i="1"/>
  <c r="F147" i="1"/>
  <c r="D147" i="1"/>
  <c r="G147" i="1"/>
  <c r="H147" i="1"/>
  <c r="I147" i="1"/>
  <c r="E147" i="1"/>
  <c r="C147" i="1"/>
  <c r="A150" i="1" l="1"/>
  <c r="B149" i="1"/>
  <c r="E148" i="1"/>
  <c r="I148" i="1"/>
  <c r="C148" i="1"/>
  <c r="F148" i="1"/>
  <c r="G148" i="1"/>
  <c r="D148" i="1"/>
  <c r="H148" i="1"/>
  <c r="F149" i="1" l="1"/>
  <c r="H149" i="1"/>
  <c r="D149" i="1"/>
  <c r="C149" i="1"/>
  <c r="G149" i="1"/>
  <c r="I149" i="1"/>
  <c r="E149" i="1"/>
  <c r="A151" i="1"/>
  <c r="B150" i="1"/>
  <c r="A152" i="1" l="1"/>
  <c r="B151" i="1"/>
  <c r="E150" i="1"/>
  <c r="F150" i="1"/>
  <c r="D150" i="1"/>
  <c r="C150" i="1"/>
  <c r="I150" i="1"/>
  <c r="G150" i="1"/>
  <c r="H150" i="1"/>
  <c r="I151" i="1" l="1"/>
  <c r="C151" i="1"/>
  <c r="F151" i="1"/>
  <c r="H151" i="1"/>
  <c r="D151" i="1"/>
  <c r="G151" i="1"/>
  <c r="E151" i="1"/>
  <c r="A153" i="1"/>
  <c r="B152" i="1"/>
  <c r="A154" i="1" l="1"/>
  <c r="B153" i="1"/>
  <c r="G152" i="1"/>
  <c r="H152" i="1"/>
  <c r="C152" i="1"/>
  <c r="D152" i="1"/>
  <c r="F152" i="1"/>
  <c r="I152" i="1"/>
  <c r="E152" i="1"/>
  <c r="D153" i="1" l="1"/>
  <c r="E153" i="1"/>
  <c r="H153" i="1"/>
  <c r="C153" i="1"/>
  <c r="G153" i="1"/>
  <c r="F153" i="1"/>
  <c r="I153" i="1"/>
  <c r="A155" i="1"/>
  <c r="B154" i="1"/>
  <c r="A156" i="1" l="1"/>
  <c r="B155" i="1"/>
  <c r="I154" i="1"/>
  <c r="D154" i="1"/>
  <c r="E154" i="1"/>
  <c r="H154" i="1"/>
  <c r="G154" i="1"/>
  <c r="F154" i="1"/>
  <c r="C154" i="1"/>
  <c r="F155" i="1" l="1"/>
  <c r="D155" i="1"/>
  <c r="I155" i="1"/>
  <c r="E155" i="1"/>
  <c r="H155" i="1"/>
  <c r="C155" i="1"/>
  <c r="G155" i="1"/>
  <c r="A157" i="1"/>
  <c r="B156" i="1"/>
  <c r="A158" i="1" l="1"/>
  <c r="B157" i="1"/>
  <c r="G156" i="1"/>
  <c r="H156" i="1"/>
  <c r="I156" i="1"/>
  <c r="F156" i="1"/>
  <c r="D156" i="1"/>
  <c r="E156" i="1"/>
  <c r="C156" i="1"/>
  <c r="G157" i="1" l="1"/>
  <c r="D157" i="1"/>
  <c r="C157" i="1"/>
  <c r="E157" i="1"/>
  <c r="H157" i="1"/>
  <c r="F157" i="1"/>
  <c r="I157" i="1"/>
  <c r="A159" i="1"/>
  <c r="B158" i="1"/>
  <c r="A160" i="1" l="1"/>
  <c r="B159" i="1"/>
  <c r="C158" i="1"/>
  <c r="I158" i="1"/>
  <c r="G158" i="1"/>
  <c r="F158" i="1"/>
  <c r="E158" i="1"/>
  <c r="H158" i="1"/>
  <c r="D158" i="1"/>
  <c r="C159" i="1" l="1"/>
  <c r="D159" i="1"/>
  <c r="G159" i="1"/>
  <c r="I159" i="1"/>
  <c r="H159" i="1"/>
  <c r="F159" i="1"/>
  <c r="E159" i="1"/>
  <c r="A161" i="1"/>
  <c r="B160" i="1"/>
  <c r="A162" i="1" l="1"/>
  <c r="B161" i="1"/>
  <c r="C160" i="1"/>
  <c r="G160" i="1"/>
  <c r="E160" i="1"/>
  <c r="H160" i="1"/>
  <c r="I160" i="1"/>
  <c r="F160" i="1"/>
  <c r="D160" i="1"/>
  <c r="E161" i="1" l="1"/>
  <c r="I161" i="1"/>
  <c r="H161" i="1"/>
  <c r="C161" i="1"/>
  <c r="G161" i="1"/>
  <c r="D161" i="1"/>
  <c r="F161" i="1"/>
  <c r="A163" i="1"/>
  <c r="B162" i="1"/>
  <c r="B163" i="1" l="1"/>
  <c r="A164" i="1"/>
  <c r="C162" i="1"/>
  <c r="H162" i="1"/>
  <c r="G162" i="1"/>
  <c r="D162" i="1"/>
  <c r="I162" i="1"/>
  <c r="E162" i="1"/>
  <c r="F162" i="1"/>
  <c r="B164" i="1" l="1"/>
  <c r="A165" i="1"/>
  <c r="C163" i="1"/>
  <c r="F163" i="1"/>
  <c r="H163" i="1"/>
  <c r="E163" i="1"/>
  <c r="G163" i="1"/>
  <c r="I163" i="1"/>
  <c r="D163" i="1"/>
  <c r="A166" i="1" l="1"/>
  <c r="B165" i="1"/>
  <c r="H164" i="1"/>
  <c r="I164" i="1"/>
  <c r="F164" i="1"/>
  <c r="E164" i="1"/>
  <c r="D164" i="1"/>
  <c r="G164" i="1"/>
  <c r="C164" i="1"/>
  <c r="G165" i="1" l="1"/>
  <c r="D165" i="1"/>
  <c r="C165" i="1"/>
  <c r="I165" i="1"/>
  <c r="F165" i="1"/>
  <c r="H165" i="1"/>
  <c r="E165" i="1"/>
  <c r="A167" i="1"/>
  <c r="B166" i="1"/>
  <c r="A168" i="1" l="1"/>
  <c r="B167" i="1"/>
  <c r="F166" i="1"/>
  <c r="I166" i="1"/>
  <c r="H166" i="1"/>
  <c r="G166" i="1"/>
  <c r="D166" i="1"/>
  <c r="C166" i="1"/>
  <c r="E166" i="1"/>
  <c r="H167" i="1" l="1"/>
  <c r="D167" i="1"/>
  <c r="I167" i="1"/>
  <c r="G167" i="1"/>
  <c r="E167" i="1"/>
  <c r="F167" i="1"/>
  <c r="C167" i="1"/>
  <c r="A169" i="1"/>
  <c r="B168" i="1"/>
  <c r="A170" i="1" l="1"/>
  <c r="B169" i="1"/>
  <c r="C168" i="1"/>
  <c r="F168" i="1"/>
  <c r="G168" i="1"/>
  <c r="H168" i="1"/>
  <c r="I168" i="1"/>
  <c r="E168" i="1"/>
  <c r="D168" i="1"/>
  <c r="H169" i="1" l="1"/>
  <c r="I169" i="1"/>
  <c r="D169" i="1"/>
  <c r="E169" i="1"/>
  <c r="C169" i="1"/>
  <c r="G169" i="1"/>
  <c r="F169" i="1"/>
  <c r="A171" i="1"/>
  <c r="B170" i="1"/>
  <c r="A172" i="1" l="1"/>
  <c r="B171" i="1"/>
  <c r="G170" i="1"/>
  <c r="C170" i="1"/>
  <c r="D170" i="1"/>
  <c r="H170" i="1"/>
  <c r="I170" i="1"/>
  <c r="E170" i="1"/>
  <c r="F170" i="1"/>
  <c r="D171" i="1" l="1"/>
  <c r="F171" i="1"/>
  <c r="I171" i="1"/>
  <c r="C171" i="1"/>
  <c r="G171" i="1"/>
  <c r="H171" i="1"/>
  <c r="E171" i="1"/>
  <c r="A173" i="1"/>
  <c r="B172" i="1"/>
  <c r="B173" i="1" l="1"/>
  <c r="A174" i="1"/>
  <c r="H172" i="1"/>
  <c r="F172" i="1"/>
  <c r="E172" i="1"/>
  <c r="G172" i="1"/>
  <c r="C172" i="1"/>
  <c r="D172" i="1"/>
  <c r="I172" i="1"/>
  <c r="B174" i="1" l="1"/>
  <c r="A175" i="1"/>
  <c r="D173" i="1"/>
  <c r="C173" i="1"/>
  <c r="I173" i="1"/>
  <c r="G173" i="1"/>
  <c r="H173" i="1"/>
  <c r="F173" i="1"/>
  <c r="E173" i="1"/>
  <c r="B175" i="1" l="1"/>
  <c r="A176" i="1"/>
  <c r="C174" i="1"/>
  <c r="H174" i="1"/>
  <c r="I174" i="1"/>
  <c r="F174" i="1"/>
  <c r="G174" i="1"/>
  <c r="E174" i="1"/>
  <c r="D174" i="1"/>
  <c r="B176" i="1" l="1"/>
  <c r="A177" i="1"/>
  <c r="C175" i="1"/>
  <c r="F175" i="1"/>
  <c r="H175" i="1"/>
  <c r="G175" i="1"/>
  <c r="D175" i="1"/>
  <c r="I175" i="1"/>
  <c r="E175" i="1"/>
  <c r="B177" i="1" l="1"/>
  <c r="A178" i="1"/>
  <c r="D176" i="1"/>
  <c r="C176" i="1"/>
  <c r="G176" i="1"/>
  <c r="I176" i="1"/>
  <c r="F176" i="1"/>
  <c r="E176" i="1"/>
  <c r="H176" i="1"/>
  <c r="B178" i="1" l="1"/>
  <c r="A179" i="1"/>
  <c r="H177" i="1"/>
  <c r="G177" i="1"/>
  <c r="E177" i="1"/>
  <c r="I177" i="1"/>
  <c r="D177" i="1"/>
  <c r="C177" i="1"/>
  <c r="F177" i="1"/>
  <c r="B179" i="1" l="1"/>
  <c r="A180" i="1"/>
  <c r="F178" i="1"/>
  <c r="I178" i="1"/>
  <c r="C178" i="1"/>
  <c r="G178" i="1"/>
  <c r="H178" i="1"/>
  <c r="D178" i="1"/>
  <c r="E178" i="1"/>
  <c r="B180" i="1" l="1"/>
  <c r="A181" i="1"/>
  <c r="E179" i="1"/>
  <c r="D179" i="1"/>
  <c r="G179" i="1"/>
  <c r="C179" i="1"/>
  <c r="F179" i="1"/>
  <c r="H179" i="1"/>
  <c r="I179" i="1"/>
  <c r="B181" i="1" l="1"/>
  <c r="A182" i="1"/>
  <c r="E180" i="1"/>
  <c r="F180" i="1"/>
  <c r="D180" i="1"/>
  <c r="C180" i="1"/>
  <c r="G180" i="1"/>
  <c r="I180" i="1"/>
  <c r="H180" i="1"/>
  <c r="A183" i="1" l="1"/>
  <c r="B182" i="1"/>
  <c r="D181" i="1"/>
  <c r="H181" i="1"/>
  <c r="C181" i="1"/>
  <c r="I181" i="1"/>
  <c r="G181" i="1"/>
  <c r="F181" i="1"/>
  <c r="E181" i="1"/>
  <c r="H182" i="1" l="1"/>
  <c r="E182" i="1"/>
  <c r="F182" i="1"/>
  <c r="C182" i="1"/>
  <c r="D182" i="1"/>
  <c r="I182" i="1"/>
  <c r="G182" i="1"/>
  <c r="A184" i="1"/>
  <c r="B183" i="1"/>
  <c r="B184" i="1" l="1"/>
  <c r="A185" i="1"/>
  <c r="C183" i="1"/>
  <c r="G183" i="1"/>
  <c r="D183" i="1"/>
  <c r="I183" i="1"/>
  <c r="F183" i="1"/>
  <c r="H183" i="1"/>
  <c r="E183" i="1"/>
  <c r="B185" i="1" l="1"/>
  <c r="A186" i="1"/>
  <c r="F184" i="1"/>
  <c r="G184" i="1"/>
  <c r="D184" i="1"/>
  <c r="H184" i="1"/>
  <c r="E184" i="1"/>
  <c r="I184" i="1"/>
  <c r="C184" i="1"/>
  <c r="B186" i="1" l="1"/>
  <c r="A187" i="1"/>
  <c r="E185" i="1"/>
  <c r="H185" i="1"/>
  <c r="I185" i="1"/>
  <c r="D185" i="1"/>
  <c r="G185" i="1"/>
  <c r="C185" i="1"/>
  <c r="F185" i="1"/>
  <c r="B187" i="1" l="1"/>
  <c r="A188" i="1"/>
  <c r="D186" i="1"/>
  <c r="F186" i="1"/>
  <c r="C186" i="1"/>
  <c r="E186" i="1"/>
  <c r="G186" i="1"/>
  <c r="H186" i="1"/>
  <c r="I186" i="1"/>
  <c r="A189" i="1" l="1"/>
  <c r="B188" i="1"/>
  <c r="G187" i="1"/>
  <c r="E187" i="1"/>
  <c r="F187" i="1"/>
  <c r="H187" i="1"/>
  <c r="I187" i="1"/>
  <c r="C187" i="1"/>
  <c r="D187" i="1"/>
  <c r="C188" i="1" l="1"/>
  <c r="D188" i="1"/>
  <c r="F188" i="1"/>
  <c r="G188" i="1"/>
  <c r="I188" i="1"/>
  <c r="E188" i="1"/>
  <c r="H188" i="1"/>
  <c r="B189" i="1"/>
  <c r="A190" i="1"/>
  <c r="E189" i="1" l="1"/>
  <c r="I189" i="1"/>
  <c r="D189" i="1"/>
  <c r="G189" i="1"/>
  <c r="H189" i="1"/>
  <c r="F189" i="1"/>
  <c r="C189" i="1"/>
  <c r="B190" i="1"/>
  <c r="A191" i="1"/>
  <c r="D190" i="1" l="1"/>
  <c r="C190" i="1"/>
  <c r="F190" i="1"/>
  <c r="I190" i="1"/>
  <c r="G190" i="1"/>
  <c r="H190" i="1"/>
  <c r="E190" i="1"/>
  <c r="B191" i="1"/>
  <c r="A192" i="1"/>
  <c r="F191" i="1" l="1"/>
  <c r="E191" i="1"/>
  <c r="G191" i="1"/>
  <c r="I191" i="1"/>
  <c r="D191" i="1"/>
  <c r="H191" i="1"/>
  <c r="C191" i="1"/>
  <c r="B192" i="1"/>
  <c r="A193" i="1"/>
  <c r="C192" i="1" l="1"/>
  <c r="F192" i="1"/>
  <c r="H192" i="1"/>
  <c r="G192" i="1"/>
  <c r="D192" i="1"/>
  <c r="I192" i="1"/>
  <c r="E192" i="1"/>
  <c r="B193" i="1"/>
  <c r="A194" i="1"/>
  <c r="C193" i="1" l="1"/>
  <c r="I193" i="1"/>
  <c r="E193" i="1"/>
  <c r="G193" i="1"/>
  <c r="F193" i="1"/>
  <c r="H193" i="1"/>
  <c r="D193" i="1"/>
  <c r="B194" i="1"/>
  <c r="A195" i="1"/>
  <c r="E194" i="1" l="1"/>
  <c r="G194" i="1"/>
  <c r="D194" i="1"/>
  <c r="I194" i="1"/>
  <c r="F194" i="1"/>
  <c r="H194" i="1"/>
  <c r="C194" i="1"/>
  <c r="A196" i="1"/>
  <c r="B195" i="1"/>
  <c r="B196" i="1" l="1"/>
  <c r="A197" i="1"/>
  <c r="H195" i="1"/>
  <c r="I195" i="1"/>
  <c r="G195" i="1"/>
  <c r="F195" i="1"/>
  <c r="E195" i="1"/>
  <c r="C195" i="1"/>
  <c r="D195" i="1"/>
  <c r="A198" i="1" l="1"/>
  <c r="B197" i="1"/>
  <c r="E196" i="1"/>
  <c r="C196" i="1"/>
  <c r="I196" i="1"/>
  <c r="G196" i="1"/>
  <c r="F196" i="1"/>
  <c r="D196" i="1"/>
  <c r="H196" i="1"/>
  <c r="C197" i="1" l="1"/>
  <c r="I197" i="1"/>
  <c r="G197" i="1"/>
  <c r="E197" i="1"/>
  <c r="H197" i="1"/>
  <c r="D197" i="1"/>
  <c r="F197" i="1"/>
  <c r="B198" i="1"/>
  <c r="A199" i="1"/>
  <c r="B199" i="1" l="1"/>
  <c r="A200" i="1"/>
  <c r="F198" i="1"/>
  <c r="H198" i="1"/>
  <c r="G198" i="1"/>
  <c r="D198" i="1"/>
  <c r="C198" i="1"/>
  <c r="I198" i="1"/>
  <c r="E198" i="1"/>
  <c r="B200" i="1" l="1"/>
  <c r="A201" i="1"/>
  <c r="C199" i="1"/>
  <c r="I199" i="1"/>
  <c r="G199" i="1"/>
  <c r="F199" i="1"/>
  <c r="H199" i="1"/>
  <c r="E199" i="1"/>
  <c r="D199" i="1"/>
  <c r="B201" i="1" l="1"/>
  <c r="A202" i="1"/>
  <c r="F200" i="1"/>
  <c r="I200" i="1"/>
  <c r="H200" i="1"/>
  <c r="G200" i="1"/>
  <c r="C200" i="1"/>
  <c r="E200" i="1"/>
  <c r="D200" i="1"/>
  <c r="B202" i="1" l="1"/>
  <c r="A203" i="1"/>
  <c r="H201" i="1"/>
  <c r="I201" i="1"/>
  <c r="F201" i="1"/>
  <c r="D201" i="1"/>
  <c r="C201" i="1"/>
  <c r="G201" i="1"/>
  <c r="E201" i="1"/>
  <c r="B203" i="1" l="1"/>
  <c r="A204" i="1"/>
  <c r="F202" i="1"/>
  <c r="G202" i="1"/>
  <c r="H202" i="1"/>
  <c r="E202" i="1"/>
  <c r="I202" i="1"/>
  <c r="D202" i="1"/>
  <c r="C202" i="1"/>
  <c r="B204" i="1" l="1"/>
  <c r="A205" i="1"/>
  <c r="D203" i="1"/>
  <c r="C203" i="1"/>
  <c r="G203" i="1"/>
  <c r="F203" i="1"/>
  <c r="H203" i="1"/>
  <c r="I203" i="1"/>
  <c r="E203" i="1"/>
  <c r="B205" i="1" l="1"/>
  <c r="A206" i="1"/>
  <c r="D204" i="1"/>
  <c r="G204" i="1"/>
  <c r="C204" i="1"/>
  <c r="E204" i="1"/>
  <c r="I204" i="1"/>
  <c r="F204" i="1"/>
  <c r="H204" i="1"/>
  <c r="B206" i="1" l="1"/>
  <c r="A207" i="1"/>
  <c r="G205" i="1"/>
  <c r="I205" i="1"/>
  <c r="H205" i="1"/>
  <c r="E205" i="1"/>
  <c r="D205" i="1"/>
  <c r="F205" i="1"/>
  <c r="C205" i="1"/>
  <c r="B207" i="1" l="1"/>
  <c r="A208" i="1"/>
  <c r="H206" i="1"/>
  <c r="C206" i="1"/>
  <c r="D206" i="1"/>
  <c r="G206" i="1"/>
  <c r="E206" i="1"/>
  <c r="F206" i="1"/>
  <c r="I206" i="1"/>
  <c r="A209" i="1" l="1"/>
  <c r="B208" i="1"/>
  <c r="G207" i="1"/>
  <c r="I207" i="1"/>
  <c r="F207" i="1"/>
  <c r="E207" i="1"/>
  <c r="H207" i="1"/>
  <c r="C207" i="1"/>
  <c r="D207" i="1"/>
  <c r="F208" i="1" l="1"/>
  <c r="C208" i="1"/>
  <c r="G208" i="1"/>
  <c r="I208" i="1"/>
  <c r="D208" i="1"/>
  <c r="H208" i="1"/>
  <c r="E208" i="1"/>
  <c r="B209" i="1"/>
  <c r="A210" i="1"/>
  <c r="G209" i="1" l="1"/>
  <c r="H209" i="1"/>
  <c r="C209" i="1"/>
  <c r="F209" i="1"/>
  <c r="E209" i="1"/>
  <c r="I209" i="1"/>
  <c r="D209" i="1"/>
  <c r="B210" i="1"/>
  <c r="A211" i="1"/>
  <c r="A212" i="1" l="1"/>
  <c r="B211" i="1"/>
  <c r="E210" i="1"/>
  <c r="I210" i="1"/>
  <c r="F210" i="1"/>
  <c r="H210" i="1"/>
  <c r="D210" i="1"/>
  <c r="C210" i="1"/>
  <c r="G210" i="1"/>
  <c r="H211" i="1" l="1"/>
  <c r="C211" i="1"/>
  <c r="D211" i="1"/>
  <c r="E211" i="1"/>
  <c r="I211" i="1"/>
  <c r="G211" i="1"/>
  <c r="F211" i="1"/>
  <c r="B212" i="1"/>
  <c r="A213" i="1"/>
  <c r="A214" i="1" l="1"/>
  <c r="B213" i="1"/>
  <c r="I212" i="1"/>
  <c r="D212" i="1"/>
  <c r="G212" i="1"/>
  <c r="F212" i="1"/>
  <c r="H212" i="1"/>
  <c r="E212" i="1"/>
  <c r="C212" i="1"/>
  <c r="C213" i="1" l="1"/>
  <c r="I213" i="1"/>
  <c r="G213" i="1"/>
  <c r="E213" i="1"/>
  <c r="H213" i="1"/>
  <c r="F213" i="1"/>
  <c r="D213" i="1"/>
  <c r="A215" i="1"/>
  <c r="B214" i="1"/>
  <c r="F214" i="1" l="1"/>
  <c r="I214" i="1"/>
  <c r="C214" i="1"/>
  <c r="D214" i="1"/>
  <c r="H214" i="1"/>
  <c r="G214" i="1"/>
  <c r="E214" i="1"/>
  <c r="B215" i="1"/>
  <c r="A216" i="1"/>
  <c r="F215" i="1" l="1"/>
  <c r="E215" i="1"/>
  <c r="H215" i="1"/>
  <c r="C215" i="1"/>
  <c r="G215" i="1"/>
  <c r="I215" i="1"/>
  <c r="D215" i="1"/>
  <c r="B216" i="1"/>
  <c r="A217" i="1"/>
  <c r="I216" i="1" l="1"/>
  <c r="D216" i="1"/>
  <c r="F216" i="1"/>
  <c r="E216" i="1"/>
  <c r="H216" i="1"/>
  <c r="G216" i="1"/>
  <c r="C216" i="1"/>
  <c r="B217" i="1"/>
  <c r="A218" i="1"/>
  <c r="F217" i="1" l="1"/>
  <c r="C217" i="1"/>
  <c r="E217" i="1"/>
  <c r="I217" i="1"/>
  <c r="G217" i="1"/>
  <c r="H217" i="1"/>
  <c r="D217" i="1"/>
  <c r="A219" i="1"/>
  <c r="B218" i="1"/>
  <c r="B219" i="1" l="1"/>
  <c r="A220" i="1"/>
  <c r="C218" i="1"/>
  <c r="G218" i="1"/>
  <c r="E218" i="1"/>
  <c r="H218" i="1"/>
  <c r="I218" i="1"/>
  <c r="D218" i="1"/>
  <c r="F218" i="1"/>
  <c r="B220" i="1" l="1"/>
  <c r="A221" i="1"/>
  <c r="D219" i="1"/>
  <c r="H219" i="1"/>
  <c r="I219" i="1"/>
  <c r="E219" i="1"/>
  <c r="C219" i="1"/>
  <c r="G219" i="1"/>
  <c r="F219" i="1"/>
  <c r="A222" i="1" l="1"/>
  <c r="B221" i="1"/>
  <c r="D220" i="1"/>
  <c r="E220" i="1"/>
  <c r="H220" i="1"/>
  <c r="G220" i="1"/>
  <c r="F220" i="1"/>
  <c r="I220" i="1"/>
  <c r="C220" i="1"/>
  <c r="D221" i="1" l="1"/>
  <c r="C221" i="1"/>
  <c r="H221" i="1"/>
  <c r="E221" i="1"/>
  <c r="I221" i="1"/>
  <c r="G221" i="1"/>
  <c r="F221" i="1"/>
  <c r="A223" i="1"/>
  <c r="B222" i="1"/>
  <c r="B223" i="1" l="1"/>
  <c r="A224" i="1"/>
  <c r="F222" i="1"/>
  <c r="D222" i="1"/>
  <c r="I222" i="1"/>
  <c r="H222" i="1"/>
  <c r="C222" i="1"/>
  <c r="G222" i="1"/>
  <c r="E222" i="1"/>
  <c r="B224" i="1" l="1"/>
  <c r="A225" i="1"/>
  <c r="H223" i="1"/>
  <c r="F223" i="1"/>
  <c r="E223" i="1"/>
  <c r="I223" i="1"/>
  <c r="C223" i="1"/>
  <c r="G223" i="1"/>
  <c r="D223" i="1"/>
  <c r="B225" i="1" l="1"/>
  <c r="A226" i="1"/>
  <c r="F224" i="1"/>
  <c r="H224" i="1"/>
  <c r="D224" i="1"/>
  <c r="I224" i="1"/>
  <c r="E224" i="1"/>
  <c r="G224" i="1"/>
  <c r="C224" i="1"/>
  <c r="B226" i="1" l="1"/>
  <c r="A227" i="1"/>
  <c r="F225" i="1"/>
  <c r="C225" i="1"/>
  <c r="E225" i="1"/>
  <c r="H225" i="1"/>
  <c r="I225" i="1"/>
  <c r="D225" i="1"/>
  <c r="G225" i="1"/>
  <c r="A228" i="1" l="1"/>
  <c r="B227" i="1"/>
  <c r="G226" i="1"/>
  <c r="E226" i="1"/>
  <c r="C226" i="1"/>
  <c r="F226" i="1"/>
  <c r="D226" i="1"/>
  <c r="H226" i="1"/>
  <c r="I226" i="1"/>
  <c r="B228" i="1" l="1"/>
  <c r="A229" i="1"/>
  <c r="H227" i="1"/>
  <c r="D227" i="1"/>
  <c r="E227" i="1"/>
  <c r="G227" i="1"/>
  <c r="C227" i="1"/>
  <c r="F227" i="1"/>
  <c r="I227" i="1"/>
  <c r="B229" i="1" l="1"/>
  <c r="A230" i="1"/>
  <c r="I228" i="1"/>
  <c r="D228" i="1"/>
  <c r="F228" i="1"/>
  <c r="E228" i="1"/>
  <c r="H228" i="1"/>
  <c r="C228" i="1"/>
  <c r="G228" i="1"/>
  <c r="A231" i="1" l="1"/>
  <c r="B230" i="1"/>
  <c r="H229" i="1"/>
  <c r="D229" i="1"/>
  <c r="E229" i="1"/>
  <c r="C229" i="1"/>
  <c r="F229" i="1"/>
  <c r="G229" i="1"/>
  <c r="I229" i="1"/>
  <c r="H230" i="1" l="1"/>
  <c r="D230" i="1"/>
  <c r="C230" i="1"/>
  <c r="F230" i="1"/>
  <c r="G230" i="1"/>
  <c r="I230" i="1"/>
  <c r="E230" i="1"/>
  <c r="B231" i="1"/>
  <c r="A232" i="1"/>
  <c r="C231" i="1" l="1"/>
  <c r="H231" i="1"/>
  <c r="I231" i="1"/>
  <c r="G231" i="1"/>
  <c r="D231" i="1"/>
  <c r="E231" i="1"/>
  <c r="F231" i="1"/>
  <c r="B232" i="1"/>
  <c r="A233" i="1"/>
  <c r="B233" i="1" l="1"/>
  <c r="A234" i="1"/>
  <c r="I232" i="1"/>
  <c r="F232" i="1"/>
  <c r="D232" i="1"/>
  <c r="H232" i="1"/>
  <c r="E232" i="1"/>
  <c r="G232" i="1"/>
  <c r="C232" i="1"/>
  <c r="A235" i="1" l="1"/>
  <c r="B234" i="1"/>
  <c r="D233" i="1"/>
  <c r="C233" i="1"/>
  <c r="H233" i="1"/>
  <c r="G233" i="1"/>
  <c r="F233" i="1"/>
  <c r="I233" i="1"/>
  <c r="E233" i="1"/>
  <c r="C234" i="1" l="1"/>
  <c r="F234" i="1"/>
  <c r="D234" i="1"/>
  <c r="G234" i="1"/>
  <c r="H234" i="1"/>
  <c r="I234" i="1"/>
  <c r="E234" i="1"/>
  <c r="B235" i="1"/>
  <c r="A236" i="1"/>
  <c r="D235" i="1" l="1"/>
  <c r="G235" i="1"/>
  <c r="I235" i="1"/>
  <c r="F235" i="1"/>
  <c r="H235" i="1"/>
  <c r="E235" i="1"/>
  <c r="C235" i="1"/>
  <c r="B236" i="1"/>
  <c r="A237" i="1"/>
  <c r="H236" i="1" l="1"/>
  <c r="F236" i="1"/>
  <c r="G236" i="1"/>
  <c r="E236" i="1"/>
  <c r="C236" i="1"/>
  <c r="I236" i="1"/>
  <c r="D236" i="1"/>
  <c r="B237" i="1"/>
  <c r="A238" i="1"/>
  <c r="B238" i="1" l="1"/>
  <c r="A239" i="1"/>
  <c r="G237" i="1"/>
  <c r="E237" i="1"/>
  <c r="F237" i="1"/>
  <c r="H237" i="1"/>
  <c r="C237" i="1"/>
  <c r="I237" i="1"/>
  <c r="D237" i="1"/>
  <c r="A240" i="1" l="1"/>
  <c r="B239" i="1"/>
  <c r="E238" i="1"/>
  <c r="D238" i="1"/>
  <c r="C238" i="1"/>
  <c r="G238" i="1"/>
  <c r="F238" i="1"/>
  <c r="H238" i="1"/>
  <c r="I238" i="1"/>
  <c r="F239" i="1" l="1"/>
  <c r="E239" i="1"/>
  <c r="C239" i="1"/>
  <c r="D239" i="1"/>
  <c r="G239" i="1"/>
  <c r="H239" i="1"/>
  <c r="I239" i="1"/>
  <c r="B240" i="1"/>
  <c r="A241" i="1"/>
  <c r="C240" i="1" l="1"/>
  <c r="G240" i="1"/>
  <c r="F240" i="1"/>
  <c r="H240" i="1"/>
  <c r="D240" i="1"/>
  <c r="I240" i="1"/>
  <c r="E240" i="1"/>
  <c r="B241" i="1"/>
  <c r="A242" i="1"/>
  <c r="F241" i="1" l="1"/>
  <c r="G241" i="1"/>
  <c r="I241" i="1"/>
  <c r="C241" i="1"/>
  <c r="H241" i="1"/>
  <c r="D241" i="1"/>
  <c r="E241" i="1"/>
  <c r="B242" i="1"/>
  <c r="A243" i="1"/>
  <c r="A244" i="1" l="1"/>
  <c r="B243" i="1"/>
  <c r="C242" i="1"/>
  <c r="I242" i="1"/>
  <c r="H242" i="1"/>
  <c r="D242" i="1"/>
  <c r="G242" i="1"/>
  <c r="F242" i="1"/>
  <c r="E242" i="1"/>
  <c r="D243" i="1" l="1"/>
  <c r="G243" i="1"/>
  <c r="I243" i="1"/>
  <c r="H243" i="1"/>
  <c r="E243" i="1"/>
  <c r="C243" i="1"/>
  <c r="F243" i="1"/>
  <c r="B244" i="1"/>
  <c r="A245" i="1"/>
  <c r="A246" i="1" l="1"/>
  <c r="B245" i="1"/>
  <c r="E244" i="1"/>
  <c r="D244" i="1"/>
  <c r="I244" i="1"/>
  <c r="G244" i="1"/>
  <c r="F244" i="1"/>
  <c r="H244" i="1"/>
  <c r="C244" i="1"/>
  <c r="D245" i="1" l="1"/>
  <c r="G245" i="1"/>
  <c r="I245" i="1"/>
  <c r="E245" i="1"/>
  <c r="F245" i="1"/>
  <c r="C245" i="1"/>
  <c r="H245" i="1"/>
  <c r="A247" i="1"/>
  <c r="B246" i="1"/>
  <c r="A248" i="1" l="1"/>
  <c r="B247" i="1"/>
  <c r="C246" i="1"/>
  <c r="E246" i="1"/>
  <c r="D246" i="1"/>
  <c r="G246" i="1"/>
  <c r="I246" i="1"/>
  <c r="F246" i="1"/>
  <c r="H246" i="1"/>
  <c r="G247" i="1" l="1"/>
  <c r="D247" i="1"/>
  <c r="I247" i="1"/>
  <c r="C247" i="1"/>
  <c r="E247" i="1"/>
  <c r="F247" i="1"/>
  <c r="H247" i="1"/>
  <c r="B248" i="1"/>
  <c r="A249" i="1"/>
  <c r="G248" i="1" l="1"/>
  <c r="I248" i="1"/>
  <c r="D248" i="1"/>
  <c r="E248" i="1"/>
  <c r="C248" i="1"/>
  <c r="F248" i="1"/>
  <c r="H248" i="1"/>
  <c r="B249" i="1"/>
  <c r="A250" i="1"/>
  <c r="C249" i="1" l="1"/>
  <c r="E249" i="1"/>
  <c r="H249" i="1"/>
  <c r="I249" i="1"/>
  <c r="D249" i="1"/>
  <c r="G249" i="1"/>
  <c r="F249" i="1"/>
  <c r="A251" i="1"/>
  <c r="B250" i="1"/>
  <c r="G250" i="1" l="1"/>
  <c r="D250" i="1"/>
  <c r="E250" i="1"/>
  <c r="F250" i="1"/>
  <c r="C250" i="1"/>
  <c r="H250" i="1"/>
  <c r="I250" i="1"/>
  <c r="A252" i="1"/>
  <c r="B251" i="1"/>
  <c r="F251" i="1" l="1"/>
  <c r="D251" i="1"/>
  <c r="G251" i="1"/>
  <c r="E251" i="1"/>
  <c r="C251" i="1"/>
  <c r="H251" i="1"/>
  <c r="I251" i="1"/>
  <c r="B252" i="1"/>
  <c r="A253" i="1"/>
  <c r="E252" i="1" l="1"/>
  <c r="D252" i="1"/>
  <c r="I252" i="1"/>
  <c r="H252" i="1"/>
  <c r="G252" i="1"/>
  <c r="C252" i="1"/>
  <c r="F252" i="1"/>
  <c r="B253" i="1"/>
  <c r="A254" i="1"/>
  <c r="I253" i="1" l="1"/>
  <c r="D253" i="1"/>
  <c r="F253" i="1"/>
  <c r="G253" i="1"/>
  <c r="H253" i="1"/>
  <c r="C253" i="1"/>
  <c r="E253" i="1"/>
  <c r="A255" i="1"/>
  <c r="B254" i="1"/>
  <c r="A256" i="1" l="1"/>
  <c r="B255" i="1"/>
  <c r="C254" i="1"/>
  <c r="E254" i="1"/>
  <c r="G254" i="1"/>
  <c r="D254" i="1"/>
  <c r="H254" i="1"/>
  <c r="I254" i="1"/>
  <c r="F254" i="1"/>
  <c r="G255" i="1" l="1"/>
  <c r="D255" i="1"/>
  <c r="E255" i="1"/>
  <c r="C255" i="1"/>
  <c r="F255" i="1"/>
  <c r="I255" i="1"/>
  <c r="H255" i="1"/>
  <c r="B256" i="1"/>
  <c r="A257" i="1"/>
  <c r="C256" i="1" l="1"/>
  <c r="E256" i="1"/>
  <c r="G256" i="1"/>
  <c r="F256" i="1"/>
  <c r="D256" i="1"/>
  <c r="I256" i="1"/>
  <c r="H256" i="1"/>
  <c r="B257" i="1"/>
  <c r="A258" i="1"/>
  <c r="I257" i="1" l="1"/>
  <c r="F257" i="1"/>
  <c r="C257" i="1"/>
  <c r="H257" i="1"/>
  <c r="D257" i="1"/>
  <c r="G257" i="1"/>
  <c r="E257" i="1"/>
  <c r="B258" i="1"/>
  <c r="A259" i="1"/>
  <c r="H258" i="1" l="1"/>
  <c r="F258" i="1"/>
  <c r="G258" i="1"/>
  <c r="C258" i="1"/>
  <c r="E258" i="1"/>
  <c r="I258" i="1"/>
  <c r="D258" i="1"/>
  <c r="A260" i="1"/>
  <c r="B259" i="1"/>
  <c r="B260" i="1" l="1"/>
  <c r="A261" i="1"/>
  <c r="C259" i="1"/>
  <c r="H259" i="1"/>
  <c r="F259" i="1"/>
  <c r="D259" i="1"/>
  <c r="E259" i="1"/>
  <c r="I259" i="1"/>
  <c r="G259" i="1"/>
  <c r="A262" i="1" l="1"/>
  <c r="B261" i="1"/>
  <c r="E260" i="1"/>
  <c r="G260" i="1"/>
  <c r="C260" i="1"/>
  <c r="D260" i="1"/>
  <c r="F260" i="1"/>
  <c r="H260" i="1"/>
  <c r="I260" i="1"/>
  <c r="I261" i="1" l="1"/>
  <c r="E261" i="1"/>
  <c r="G261" i="1"/>
  <c r="F261" i="1"/>
  <c r="C261" i="1"/>
  <c r="H261" i="1"/>
  <c r="D261" i="1"/>
  <c r="B262" i="1"/>
  <c r="A263" i="1"/>
  <c r="H262" i="1" l="1"/>
  <c r="D262" i="1"/>
  <c r="I262" i="1"/>
  <c r="C262" i="1"/>
  <c r="G262" i="1"/>
  <c r="F262" i="1"/>
  <c r="E262" i="1"/>
  <c r="A264" i="1"/>
  <c r="B263" i="1"/>
  <c r="B264" i="1" l="1"/>
  <c r="A265" i="1"/>
  <c r="G263" i="1"/>
  <c r="I263" i="1"/>
  <c r="D263" i="1"/>
  <c r="C263" i="1"/>
  <c r="H263" i="1"/>
  <c r="F263" i="1"/>
  <c r="E263" i="1"/>
  <c r="B265" i="1" l="1"/>
  <c r="A266" i="1"/>
  <c r="D264" i="1"/>
  <c r="H264" i="1"/>
  <c r="C264" i="1"/>
  <c r="I264" i="1"/>
  <c r="F264" i="1"/>
  <c r="G264" i="1"/>
  <c r="E264" i="1"/>
  <c r="A267" i="1" l="1"/>
  <c r="B266" i="1"/>
  <c r="F265" i="1"/>
  <c r="C265" i="1"/>
  <c r="H265" i="1"/>
  <c r="I265" i="1"/>
  <c r="E265" i="1"/>
  <c r="G265" i="1"/>
  <c r="D265" i="1"/>
  <c r="I266" i="1" l="1"/>
  <c r="D266" i="1"/>
  <c r="E266" i="1"/>
  <c r="G266" i="1"/>
  <c r="F266" i="1"/>
  <c r="H266" i="1"/>
  <c r="C266" i="1"/>
  <c r="B267" i="1"/>
  <c r="A268" i="1"/>
  <c r="F267" i="1" l="1"/>
  <c r="I267" i="1"/>
  <c r="D267" i="1"/>
  <c r="C267" i="1"/>
  <c r="E267" i="1"/>
  <c r="G267" i="1"/>
  <c r="H267" i="1"/>
  <c r="B268" i="1"/>
  <c r="A269" i="1"/>
  <c r="C268" i="1" l="1"/>
  <c r="F268" i="1"/>
  <c r="D268" i="1"/>
  <c r="H268" i="1"/>
  <c r="I268" i="1"/>
  <c r="E268" i="1"/>
  <c r="G268" i="1"/>
  <c r="B269" i="1"/>
  <c r="A270" i="1"/>
  <c r="E269" i="1" l="1"/>
  <c r="I269" i="1"/>
  <c r="H269" i="1"/>
  <c r="D269" i="1"/>
  <c r="G269" i="1"/>
  <c r="F269" i="1"/>
  <c r="C269" i="1"/>
  <c r="A271" i="1"/>
  <c r="B270" i="1"/>
  <c r="A272" i="1" l="1"/>
  <c r="B271" i="1"/>
  <c r="G270" i="1"/>
  <c r="H270" i="1"/>
  <c r="F270" i="1"/>
  <c r="I270" i="1"/>
  <c r="E270" i="1"/>
  <c r="C270" i="1"/>
  <c r="D270" i="1"/>
  <c r="D271" i="1" l="1"/>
  <c r="I271" i="1"/>
  <c r="E271" i="1"/>
  <c r="C271" i="1"/>
  <c r="H271" i="1"/>
  <c r="G271" i="1"/>
  <c r="F271" i="1"/>
  <c r="B272" i="1"/>
  <c r="A273" i="1"/>
  <c r="I272" i="1" l="1"/>
  <c r="G272" i="1"/>
  <c r="D272" i="1"/>
  <c r="E272" i="1"/>
  <c r="F272" i="1"/>
  <c r="H272" i="1"/>
  <c r="C272" i="1"/>
  <c r="A274" i="1"/>
  <c r="B273" i="1"/>
  <c r="B274" i="1" l="1"/>
  <c r="A275" i="1"/>
  <c r="H273" i="1"/>
  <c r="E273" i="1"/>
  <c r="C273" i="1"/>
  <c r="F273" i="1"/>
  <c r="D273" i="1"/>
  <c r="I273" i="1"/>
  <c r="G273" i="1"/>
  <c r="A276" i="1" l="1"/>
  <c r="B275" i="1"/>
  <c r="D274" i="1"/>
  <c r="F274" i="1"/>
  <c r="I274" i="1"/>
  <c r="C274" i="1"/>
  <c r="G274" i="1"/>
  <c r="H274" i="1"/>
  <c r="E274" i="1"/>
  <c r="E275" i="1" l="1"/>
  <c r="C275" i="1"/>
  <c r="D275" i="1"/>
  <c r="F275" i="1"/>
  <c r="G275" i="1"/>
  <c r="I275" i="1"/>
  <c r="H275" i="1"/>
  <c r="B276" i="1"/>
  <c r="A277" i="1"/>
  <c r="F276" i="1" l="1"/>
  <c r="H276" i="1"/>
  <c r="D276" i="1"/>
  <c r="C276" i="1"/>
  <c r="I276" i="1"/>
  <c r="E276" i="1"/>
  <c r="G276" i="1"/>
  <c r="A278" i="1"/>
  <c r="B277" i="1"/>
  <c r="A279" i="1" l="1"/>
  <c r="B278" i="1"/>
  <c r="G277" i="1"/>
  <c r="C277" i="1"/>
  <c r="F277" i="1"/>
  <c r="I277" i="1"/>
  <c r="E277" i="1"/>
  <c r="H277" i="1"/>
  <c r="D277" i="1"/>
  <c r="F278" i="1" l="1"/>
  <c r="E278" i="1"/>
  <c r="D278" i="1"/>
  <c r="H278" i="1"/>
  <c r="C278" i="1"/>
  <c r="I278" i="1"/>
  <c r="G278" i="1"/>
  <c r="A280" i="1"/>
  <c r="B279" i="1"/>
  <c r="B280" i="1" l="1"/>
  <c r="A281" i="1"/>
  <c r="C279" i="1"/>
  <c r="E279" i="1"/>
  <c r="G279" i="1"/>
  <c r="D279" i="1"/>
  <c r="F279" i="1"/>
  <c r="I279" i="1"/>
  <c r="H279" i="1"/>
  <c r="A282" i="1" l="1"/>
  <c r="B281" i="1"/>
  <c r="C280" i="1"/>
  <c r="F280" i="1"/>
  <c r="D280" i="1"/>
  <c r="I280" i="1"/>
  <c r="G280" i="1"/>
  <c r="H280" i="1"/>
  <c r="E280" i="1"/>
  <c r="I281" i="1" l="1"/>
  <c r="F281" i="1"/>
  <c r="H281" i="1"/>
  <c r="D281" i="1"/>
  <c r="G281" i="1"/>
  <c r="E281" i="1"/>
  <c r="C281" i="1"/>
  <c r="A283" i="1"/>
  <c r="B282" i="1"/>
  <c r="A284" i="1" l="1"/>
  <c r="B283" i="1"/>
  <c r="E282" i="1"/>
  <c r="I282" i="1"/>
  <c r="F282" i="1"/>
  <c r="H282" i="1"/>
  <c r="G282" i="1"/>
  <c r="C282" i="1"/>
  <c r="D282" i="1"/>
  <c r="E283" i="1" l="1"/>
  <c r="H283" i="1"/>
  <c r="C283" i="1"/>
  <c r="F283" i="1"/>
  <c r="G283" i="1"/>
  <c r="D283" i="1"/>
  <c r="I283" i="1"/>
  <c r="B284" i="1"/>
  <c r="A285" i="1"/>
  <c r="D284" i="1" l="1"/>
  <c r="G284" i="1"/>
  <c r="F284" i="1"/>
  <c r="H284" i="1"/>
  <c r="E284" i="1"/>
  <c r="C284" i="1"/>
  <c r="I284" i="1"/>
  <c r="B285" i="1"/>
  <c r="A286" i="1"/>
  <c r="H285" i="1" l="1"/>
  <c r="F285" i="1"/>
  <c r="E285" i="1"/>
  <c r="C285" i="1"/>
  <c r="G285" i="1"/>
  <c r="I285" i="1"/>
  <c r="D285" i="1"/>
  <c r="A287" i="1"/>
  <c r="B286" i="1"/>
  <c r="A288" i="1" l="1"/>
  <c r="B287" i="1"/>
  <c r="E286" i="1"/>
  <c r="H286" i="1"/>
  <c r="F286" i="1"/>
  <c r="G286" i="1"/>
  <c r="I286" i="1"/>
  <c r="C286" i="1"/>
  <c r="D286" i="1"/>
  <c r="C287" i="1" l="1"/>
  <c r="E287" i="1"/>
  <c r="I287" i="1"/>
  <c r="F287" i="1"/>
  <c r="D287" i="1"/>
  <c r="H287" i="1"/>
  <c r="G287" i="1"/>
  <c r="A289" i="1"/>
  <c r="B288" i="1"/>
  <c r="A290" i="1" l="1"/>
  <c r="B289" i="1"/>
  <c r="D288" i="1"/>
  <c r="G288" i="1"/>
  <c r="H288" i="1"/>
  <c r="E288" i="1"/>
  <c r="I288" i="1"/>
  <c r="F288" i="1"/>
  <c r="C288" i="1"/>
  <c r="F289" i="1" l="1"/>
  <c r="H289" i="1"/>
  <c r="D289" i="1"/>
  <c r="C289" i="1"/>
  <c r="E289" i="1"/>
  <c r="I289" i="1"/>
  <c r="G289" i="1"/>
  <c r="B290" i="1"/>
  <c r="A291" i="1"/>
  <c r="C290" i="1" l="1"/>
  <c r="D290" i="1"/>
  <c r="I290" i="1"/>
  <c r="H290" i="1"/>
  <c r="E290" i="1"/>
  <c r="G290" i="1"/>
  <c r="F290" i="1"/>
  <c r="B291" i="1"/>
  <c r="A292" i="1"/>
  <c r="G291" i="1" l="1"/>
  <c r="H291" i="1"/>
  <c r="D291" i="1"/>
  <c r="F291" i="1"/>
  <c r="E291" i="1"/>
  <c r="C291" i="1"/>
  <c r="I291" i="1"/>
  <c r="A293" i="1"/>
  <c r="B292" i="1"/>
  <c r="B293" i="1" l="1"/>
  <c r="A294" i="1"/>
  <c r="E292" i="1"/>
  <c r="F292" i="1"/>
  <c r="D292" i="1"/>
  <c r="H292" i="1"/>
  <c r="I292" i="1"/>
  <c r="G292" i="1"/>
  <c r="C292" i="1"/>
  <c r="A295" i="1" l="1"/>
  <c r="B294" i="1"/>
  <c r="H293" i="1"/>
  <c r="G293" i="1"/>
  <c r="F293" i="1"/>
  <c r="D293" i="1"/>
  <c r="C293" i="1"/>
  <c r="I293" i="1"/>
  <c r="E293" i="1"/>
  <c r="D294" i="1" l="1"/>
  <c r="F294" i="1"/>
  <c r="E294" i="1"/>
  <c r="G294" i="1"/>
  <c r="C294" i="1"/>
  <c r="H294" i="1"/>
  <c r="I294" i="1"/>
  <c r="A296" i="1"/>
  <c r="B295" i="1"/>
  <c r="B296" i="1" l="1"/>
  <c r="A297" i="1"/>
  <c r="C295" i="1"/>
  <c r="D295" i="1"/>
  <c r="F295" i="1"/>
  <c r="E295" i="1"/>
  <c r="I295" i="1"/>
  <c r="H295" i="1"/>
  <c r="G295" i="1"/>
  <c r="B297" i="1" l="1"/>
  <c r="A298" i="1"/>
  <c r="F296" i="1"/>
  <c r="G296" i="1"/>
  <c r="H296" i="1"/>
  <c r="E296" i="1"/>
  <c r="D296" i="1"/>
  <c r="C296" i="1"/>
  <c r="I296" i="1"/>
  <c r="B298" i="1" l="1"/>
  <c r="A299" i="1"/>
  <c r="F297" i="1"/>
  <c r="D297" i="1"/>
  <c r="I297" i="1"/>
  <c r="H297" i="1"/>
  <c r="E297" i="1"/>
  <c r="C297" i="1"/>
  <c r="G297" i="1"/>
  <c r="A300" i="1" l="1"/>
  <c r="B299" i="1"/>
  <c r="D298" i="1"/>
  <c r="C298" i="1"/>
  <c r="H298" i="1"/>
  <c r="E298" i="1"/>
  <c r="G298" i="1"/>
  <c r="F298" i="1"/>
  <c r="I298" i="1"/>
  <c r="F299" i="1" l="1"/>
  <c r="E299" i="1"/>
  <c r="D299" i="1"/>
  <c r="G299" i="1"/>
  <c r="H299" i="1"/>
  <c r="I299" i="1"/>
  <c r="C299" i="1"/>
  <c r="B300" i="1"/>
  <c r="A301" i="1"/>
  <c r="E300" i="1" l="1"/>
  <c r="G300" i="1"/>
  <c r="F5" i="1" s="1"/>
  <c r="F300" i="1"/>
  <c r="C300" i="1"/>
  <c r="I300" i="1"/>
  <c r="H5" i="1" s="1"/>
  <c r="H300" i="1"/>
  <c r="G5" i="1" s="1"/>
  <c r="D300" i="1"/>
  <c r="D5" i="1" s="1"/>
  <c r="B301" i="1"/>
  <c r="A302" i="1"/>
  <c r="F301" i="1" l="1"/>
  <c r="D301" i="1"/>
  <c r="H301" i="1"/>
  <c r="G301" i="1"/>
  <c r="C301" i="1"/>
  <c r="E301" i="1"/>
  <c r="I301" i="1"/>
  <c r="B302" i="1"/>
  <c r="A303" i="1"/>
  <c r="H302" i="1" l="1"/>
  <c r="I302" i="1"/>
  <c r="D302" i="1"/>
  <c r="C302" i="1"/>
  <c r="F302" i="1"/>
  <c r="G302" i="1"/>
  <c r="E302" i="1"/>
  <c r="B303" i="1"/>
  <c r="A304" i="1"/>
  <c r="B304" i="1" s="1"/>
  <c r="H303" i="1" l="1"/>
  <c r="D303" i="1"/>
  <c r="F303" i="1"/>
  <c r="I303" i="1"/>
  <c r="C303" i="1"/>
  <c r="E303" i="1"/>
  <c r="G303" i="1"/>
  <c r="H304" i="1"/>
  <c r="G304" i="1"/>
  <c r="I304" i="1"/>
  <c r="D304" i="1"/>
  <c r="F304" i="1"/>
  <c r="C304" i="1"/>
  <c r="E30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7E0615-9C10-4F73-8392-EC7A392CB4D8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A6BEA502-B1CC-4F7A-9AA6-040DFFE7CF37}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<sst xmlns="http://schemas.openxmlformats.org/spreadsheetml/2006/main" count="625" uniqueCount="448">
  <si>
    <t>WH</t>
  </si>
  <si>
    <t>Total</t>
  </si>
  <si>
    <t>PO_Number</t>
  </si>
  <si>
    <t>Vendor</t>
  </si>
  <si>
    <t>Units_Per_PO</t>
  </si>
  <si>
    <t>PO_Value</t>
  </si>
  <si>
    <t>PO_Part_Count</t>
  </si>
  <si>
    <t>New_Product</t>
  </si>
  <si>
    <t>Three_Days_Or_Less_Inv</t>
  </si>
  <si>
    <t>Normal_Replenishment</t>
  </si>
  <si>
    <t>Priority_Value</t>
  </si>
  <si>
    <t>Rank</t>
  </si>
  <si>
    <t>Arrival_Date</t>
  </si>
  <si>
    <t>Part_Count</t>
  </si>
  <si>
    <t>total_newproduct</t>
  </si>
  <si>
    <t>total_threedaysinv</t>
  </si>
  <si>
    <t>total_normalreplenishment</t>
  </si>
  <si>
    <t>rerankedvalue</t>
  </si>
  <si>
    <t>SEM</t>
  </si>
  <si>
    <t>1-1154228</t>
  </si>
  <si>
    <t>CPSC</t>
  </si>
  <si>
    <t>UPO</t>
  </si>
  <si>
    <t>NOR</t>
  </si>
  <si>
    <t>1-1149954</t>
  </si>
  <si>
    <t>MMM</t>
  </si>
  <si>
    <t>USC</t>
  </si>
  <si>
    <t>1-1152294</t>
  </si>
  <si>
    <t>STO</t>
  </si>
  <si>
    <t>SAS</t>
  </si>
  <si>
    <t>MRK</t>
  </si>
  <si>
    <t>FIB</t>
  </si>
  <si>
    <t>RBL</t>
  </si>
  <si>
    <t>HOK</t>
  </si>
  <si>
    <t>SPM</t>
  </si>
  <si>
    <t>SWP</t>
  </si>
  <si>
    <t>AFC</t>
  </si>
  <si>
    <t>KRY</t>
  </si>
  <si>
    <t>EZM</t>
  </si>
  <si>
    <t>AVC</t>
  </si>
  <si>
    <t>ABS</t>
  </si>
  <si>
    <t>15-1141963</t>
  </si>
  <si>
    <t>AST</t>
  </si>
  <si>
    <t>20-1142509</t>
  </si>
  <si>
    <t>20-1141600</t>
  </si>
  <si>
    <t>TRM</t>
  </si>
  <si>
    <t>28-1152129</t>
  </si>
  <si>
    <t>28-1149912</t>
  </si>
  <si>
    <t>SAT</t>
  </si>
  <si>
    <t>IND</t>
  </si>
  <si>
    <t>Warehouse ID</t>
  </si>
  <si>
    <t>PO #</t>
  </si>
  <si>
    <t>Arrival Date</t>
  </si>
  <si>
    <t>PO Value</t>
  </si>
  <si>
    <t>Part Count</t>
  </si>
  <si>
    <t>Units Per PO</t>
  </si>
  <si>
    <t>Concatenation</t>
  </si>
  <si>
    <t>#</t>
  </si>
  <si>
    <t>Concat</t>
  </si>
  <si>
    <t>PO Count</t>
  </si>
  <si>
    <t>PO Part Count</t>
  </si>
  <si>
    <t>Totals</t>
  </si>
  <si>
    <t>Operations Priority</t>
  </si>
  <si>
    <t>&lt;&lt;&lt;&lt;&lt;&lt;&lt;&lt;Select from the Dropdown</t>
  </si>
  <si>
    <t>Totals by Warehouse</t>
  </si>
  <si>
    <t>concatenationcolumn</t>
  </si>
  <si>
    <t>wh</t>
  </si>
  <si>
    <t>ranking</t>
  </si>
  <si>
    <t>po_number</t>
  </si>
  <si>
    <t>vendor</t>
  </si>
  <si>
    <t>Po_Value</t>
  </si>
  <si>
    <t>1-1</t>
  </si>
  <si>
    <t>1-1150469</t>
  </si>
  <si>
    <t>1-2</t>
  </si>
  <si>
    <t>1-1154746</t>
  </si>
  <si>
    <t>1-3</t>
  </si>
  <si>
    <t>1-1148885</t>
  </si>
  <si>
    <t>1-4</t>
  </si>
  <si>
    <t>1-5</t>
  </si>
  <si>
    <t>1-6</t>
  </si>
  <si>
    <t>1-7</t>
  </si>
  <si>
    <t>1-8</t>
  </si>
  <si>
    <t>1-9</t>
  </si>
  <si>
    <t>1-1153316</t>
  </si>
  <si>
    <t>1-10</t>
  </si>
  <si>
    <t>1-1150397</t>
  </si>
  <si>
    <t>1-11</t>
  </si>
  <si>
    <t>1-1154808</t>
  </si>
  <si>
    <t>1-12</t>
  </si>
  <si>
    <t>1-1150448</t>
  </si>
  <si>
    <t>1-13</t>
  </si>
  <si>
    <t>1-14</t>
  </si>
  <si>
    <t>1-15</t>
  </si>
  <si>
    <t>1-16</t>
  </si>
  <si>
    <t>1-17</t>
  </si>
  <si>
    <t>1-1149406</t>
  </si>
  <si>
    <t>1-18</t>
  </si>
  <si>
    <t>1-19</t>
  </si>
  <si>
    <t>1-20</t>
  </si>
  <si>
    <t>1-21</t>
  </si>
  <si>
    <t>1-22</t>
  </si>
  <si>
    <t>1-23</t>
  </si>
  <si>
    <t>1-1153173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</si>
  <si>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</si>
  <si>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</si>
  <si>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</si>
  <si>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</si>
  <si>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</si>
  <si>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</si>
  <si>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</si>
  <si>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</si>
  <si>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</si>
  <si>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</si>
  <si>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</si>
  <si>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</si>
  <si>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</si>
  <si>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</si>
  <si>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</si>
  <si>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</si>
  <si>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</si>
  <si>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</si>
  <si>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</si>
  <si>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</si>
  <si>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</si>
  <si>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</si>
  <si>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1-1154334</t>
  </si>
  <si>
    <t>1-1155447</t>
  </si>
  <si>
    <t>LKE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</si>
  <si>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</si>
  <si>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</si>
  <si>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</si>
  <si>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</si>
  <si>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</si>
  <si>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</si>
  <si>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</si>
  <si>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</si>
  <si>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</si>
  <si>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</si>
  <si>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</si>
  <si>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</si>
  <si>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</si>
  <si>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7-1</t>
  </si>
  <si>
    <t>7-2</t>
  </si>
  <si>
    <t>7-3</t>
  </si>
  <si>
    <t>7-4</t>
  </si>
  <si>
    <t>7-5</t>
  </si>
  <si>
    <t>7-6</t>
  </si>
  <si>
    <t>14-1</t>
  </si>
  <si>
    <t>14-2</t>
  </si>
  <si>
    <t>MIC</t>
  </si>
  <si>
    <t>14-3</t>
  </si>
  <si>
    <t>14-4</t>
  </si>
  <si>
    <t>14-5</t>
  </si>
  <si>
    <t>14-6</t>
  </si>
  <si>
    <t>14-7</t>
  </si>
  <si>
    <t>14-8</t>
  </si>
  <si>
    <t>14-9</t>
  </si>
  <si>
    <t>LUSI</t>
  </si>
  <si>
    <t>14-1153196</t>
  </si>
  <si>
    <t>GLE</t>
  </si>
  <si>
    <t>15-1</t>
  </si>
  <si>
    <t>15-2</t>
  </si>
  <si>
    <t>15-3</t>
  </si>
  <si>
    <t>15-4</t>
  </si>
  <si>
    <t>20-1</t>
  </si>
  <si>
    <t>20-2</t>
  </si>
  <si>
    <t>22-1</t>
  </si>
  <si>
    <t>24-1</t>
  </si>
  <si>
    <t>24-2</t>
  </si>
  <si>
    <t>24-3</t>
  </si>
  <si>
    <t>24-4</t>
  </si>
  <si>
    <t>24-5</t>
  </si>
  <si>
    <t>25-1</t>
  </si>
  <si>
    <t>25-2</t>
  </si>
  <si>
    <t>25-3</t>
  </si>
  <si>
    <t>25-4</t>
  </si>
  <si>
    <t>25-5</t>
  </si>
  <si>
    <t>25-6</t>
  </si>
  <si>
    <t>25-7</t>
  </si>
  <si>
    <t>25-8</t>
  </si>
  <si>
    <t>25-9</t>
  </si>
  <si>
    <t>25-13</t>
  </si>
  <si>
    <t>25-1142983</t>
  </si>
  <si>
    <t>25-1145297</t>
  </si>
  <si>
    <t>28-1</t>
  </si>
  <si>
    <t>28-1131444</t>
  </si>
  <si>
    <t>28-2</t>
  </si>
  <si>
    <t>28-3</t>
  </si>
  <si>
    <t>28-1153063</t>
  </si>
  <si>
    <t>28-4</t>
  </si>
  <si>
    <t>28-5</t>
  </si>
  <si>
    <t>28-1153199</t>
  </si>
  <si>
    <t>28-6</t>
  </si>
  <si>
    <t>28-7</t>
  </si>
  <si>
    <t>28-1153771</t>
  </si>
  <si>
    <t>28-8</t>
  </si>
  <si>
    <t>28-9</t>
  </si>
  <si>
    <t>28-10</t>
  </si>
  <si>
    <t>28-1152125</t>
  </si>
  <si>
    <t>28-11</t>
  </si>
  <si>
    <t>28-12</t>
  </si>
  <si>
    <t>28-13</t>
  </si>
  <si>
    <t>28-1155900</t>
  </si>
  <si>
    <t>31-1</t>
  </si>
  <si>
    <t>31-2</t>
  </si>
  <si>
    <t>31-3</t>
  </si>
  <si>
    <t>31-4</t>
  </si>
  <si>
    <t>33-1</t>
  </si>
  <si>
    <t>33-2</t>
  </si>
  <si>
    <t>33-3</t>
  </si>
  <si>
    <t>33-4</t>
  </si>
  <si>
    <t>33-5</t>
  </si>
  <si>
    <t>33-6</t>
  </si>
  <si>
    <t>34-1</t>
  </si>
  <si>
    <t>42-1</t>
  </si>
  <si>
    <t>42-2</t>
  </si>
  <si>
    <t>42-3</t>
  </si>
  <si>
    <t>42-4</t>
  </si>
  <si>
    <t>42-5</t>
  </si>
  <si>
    <t>42-6</t>
  </si>
  <si>
    <t>42-7</t>
  </si>
  <si>
    <t>42-8</t>
  </si>
  <si>
    <t>42-9</t>
  </si>
  <si>
    <t>Column1</t>
  </si>
  <si>
    <t>1-1154258</t>
  </si>
  <si>
    <t>1-1153811</t>
  </si>
  <si>
    <t>1-1151396</t>
  </si>
  <si>
    <t>DOM</t>
  </si>
  <si>
    <t>MIR</t>
  </si>
  <si>
    <t>1-1150927</t>
  </si>
  <si>
    <t>1-1151894</t>
  </si>
  <si>
    <t>1-1154925</t>
  </si>
  <si>
    <t>1-1151798</t>
  </si>
  <si>
    <t>DEV</t>
  </si>
  <si>
    <t>6-14</t>
  </si>
  <si>
    <t>6-15</t>
  </si>
  <si>
    <t>6-16</t>
  </si>
  <si>
    <t>6-17</t>
  </si>
  <si>
    <t>6-18</t>
  </si>
  <si>
    <t>6-19</t>
  </si>
  <si>
    <t>6-20</t>
  </si>
  <si>
    <t>7-7</t>
  </si>
  <si>
    <t>7-8</t>
  </si>
  <si>
    <t>SHA</t>
  </si>
  <si>
    <t>14-1153890</t>
  </si>
  <si>
    <t>14-1152898</t>
  </si>
  <si>
    <t>14-1154227</t>
  </si>
  <si>
    <t>14-1155544</t>
  </si>
  <si>
    <t>14-1155017</t>
  </si>
  <si>
    <t>14-1149847</t>
  </si>
  <si>
    <t>14-1156329</t>
  </si>
  <si>
    <t>24-1155666</t>
  </si>
  <si>
    <t>24-1156180</t>
  </si>
  <si>
    <t>24-1151405</t>
  </si>
  <si>
    <t>24-6</t>
  </si>
  <si>
    <t>24-7</t>
  </si>
  <si>
    <t>24-1155676</t>
  </si>
  <si>
    <t>24-8</t>
  </si>
  <si>
    <t>25-1155159</t>
  </si>
  <si>
    <t>28-1154076</t>
  </si>
  <si>
    <t>28-1156229</t>
  </si>
  <si>
    <t>KLE</t>
  </si>
  <si>
    <t>31-1155321</t>
  </si>
  <si>
    <t>31-5</t>
  </si>
  <si>
    <t>31-6</t>
  </si>
  <si>
    <t>32-1</t>
  </si>
  <si>
    <t>PPC</t>
  </si>
  <si>
    <t>33-1151338</t>
  </si>
  <si>
    <t>PES</t>
  </si>
  <si>
    <t>42-1154186</t>
  </si>
  <si>
    <t>1-1155476</t>
  </si>
  <si>
    <t>1-1151416</t>
  </si>
  <si>
    <t>1-1154936</t>
  </si>
  <si>
    <t>1-1155465</t>
  </si>
  <si>
    <t>1-1156349</t>
  </si>
  <si>
    <t>6-1153842</t>
  </si>
  <si>
    <t>6-1150496</t>
  </si>
  <si>
    <t>6-1155504</t>
  </si>
  <si>
    <t>6-1154315</t>
  </si>
  <si>
    <t>COW</t>
  </si>
  <si>
    <t>6-1154370</t>
  </si>
  <si>
    <t>14-1155935</t>
  </si>
  <si>
    <t>14-1155551</t>
  </si>
  <si>
    <t>14-1156091</t>
  </si>
  <si>
    <t>14-10</t>
  </si>
  <si>
    <t>14-1153887</t>
  </si>
  <si>
    <t>14-11</t>
  </si>
  <si>
    <t>14-12</t>
  </si>
  <si>
    <t>14-13</t>
  </si>
  <si>
    <t>14-1156379</t>
  </si>
  <si>
    <t>AND</t>
  </si>
  <si>
    <t>14-14</t>
  </si>
  <si>
    <t>15-5</t>
  </si>
  <si>
    <t>15-6</t>
  </si>
  <si>
    <t>15-1153264</t>
  </si>
  <si>
    <t>15-1154799</t>
  </si>
  <si>
    <t>22-2</t>
  </si>
  <si>
    <t>24-1155940</t>
  </si>
  <si>
    <t>25-1156704</t>
  </si>
  <si>
    <t>25-1149622</t>
  </si>
  <si>
    <t>25-1156194</t>
  </si>
  <si>
    <t>25-1156988</t>
  </si>
  <si>
    <t>25-1153782</t>
  </si>
  <si>
    <t>25-11</t>
  </si>
  <si>
    <t>33-1154814</t>
  </si>
  <si>
    <t>33-1154871</t>
  </si>
  <si>
    <t>MON</t>
  </si>
  <si>
    <t>33-1156347</t>
  </si>
  <si>
    <t>42-1154187</t>
  </si>
  <si>
    <t>42-1156322</t>
  </si>
  <si>
    <t>42-1155315</t>
  </si>
  <si>
    <t>42-1150374</t>
  </si>
  <si>
    <t>42-1152731</t>
  </si>
  <si>
    <t>1-1134108</t>
  </si>
  <si>
    <t>PPM</t>
  </si>
  <si>
    <t>1-1156032</t>
  </si>
  <si>
    <t>1-1135609</t>
  </si>
  <si>
    <t>1-1155468</t>
  </si>
  <si>
    <t>1-1156044</t>
  </si>
  <si>
    <t>SUA</t>
  </si>
  <si>
    <t>1-1154930</t>
  </si>
  <si>
    <t>1-1151354</t>
  </si>
  <si>
    <t>1-1127434</t>
  </si>
  <si>
    <t>1-1156390</t>
  </si>
  <si>
    <t>6-1156055</t>
  </si>
  <si>
    <t>6-1150470</t>
  </si>
  <si>
    <t>6-1155503</t>
  </si>
  <si>
    <t>6-1151355</t>
  </si>
  <si>
    <t>6-1129833</t>
  </si>
  <si>
    <t>6-1155879</t>
  </si>
  <si>
    <t>6-1154906</t>
  </si>
  <si>
    <t>6-21</t>
  </si>
  <si>
    <t>6-1156412</t>
  </si>
  <si>
    <t>6-22</t>
  </si>
  <si>
    <t>6-1156056</t>
  </si>
  <si>
    <t>6-23</t>
  </si>
  <si>
    <t>6-24</t>
  </si>
  <si>
    <t>6-1155896</t>
  </si>
  <si>
    <t>6-25</t>
  </si>
  <si>
    <t>6-1135770</t>
  </si>
  <si>
    <t>6-1156417</t>
  </si>
  <si>
    <t>6-1100876</t>
  </si>
  <si>
    <t>SGT</t>
  </si>
  <si>
    <t>6-1156753</t>
  </si>
  <si>
    <t>7-1157693</t>
  </si>
  <si>
    <t>AKZ</t>
  </si>
  <si>
    <t>7-1152878</t>
  </si>
  <si>
    <t>15-1151886</t>
  </si>
  <si>
    <t>22-3</t>
  </si>
  <si>
    <t>24-1151600</t>
  </si>
  <si>
    <t>24-1156970</t>
  </si>
  <si>
    <t>24-1156717</t>
  </si>
  <si>
    <t>25-1157133</t>
  </si>
  <si>
    <t>28-1151647</t>
  </si>
  <si>
    <t>28-1157026</t>
  </si>
  <si>
    <t>28-1157842</t>
  </si>
  <si>
    <t>28-14</t>
  </si>
  <si>
    <t>28-1158008</t>
  </si>
  <si>
    <t>28-15</t>
  </si>
  <si>
    <t>31-1156379</t>
  </si>
  <si>
    <t>31-1156020</t>
  </si>
  <si>
    <t>31-1157608</t>
  </si>
  <si>
    <t>33-1153122</t>
  </si>
  <si>
    <t>33-1149857</t>
  </si>
  <si>
    <t>33-1155272</t>
  </si>
  <si>
    <t>33-7</t>
  </si>
  <si>
    <t>33-8</t>
  </si>
  <si>
    <t>42-1156678</t>
  </si>
  <si>
    <t>42-1156307</t>
  </si>
  <si>
    <t>1-1134113</t>
  </si>
  <si>
    <t>1-1157265</t>
  </si>
  <si>
    <t>1-1156731</t>
  </si>
  <si>
    <t>1-1155353</t>
  </si>
  <si>
    <t>1-1155482</t>
  </si>
  <si>
    <t>1-1156004</t>
  </si>
  <si>
    <t>1-1156035</t>
  </si>
  <si>
    <t>1-1127432</t>
  </si>
  <si>
    <t>1-1121017</t>
  </si>
  <si>
    <t>1-1156716</t>
  </si>
  <si>
    <t>6-1156758</t>
  </si>
  <si>
    <t>6-1135610</t>
  </si>
  <si>
    <t>6-1134114</t>
  </si>
  <si>
    <t>6-1157271</t>
  </si>
  <si>
    <t>6-1156342</t>
  </si>
  <si>
    <t>ZER</t>
  </si>
  <si>
    <t>6-1127433</t>
  </si>
  <si>
    <t>7-1157665</t>
  </si>
  <si>
    <t>7-1156323</t>
  </si>
  <si>
    <t>7-1157653</t>
  </si>
  <si>
    <t>7-1157599</t>
  </si>
  <si>
    <t>7-1154376</t>
  </si>
  <si>
    <t>7-1155976</t>
  </si>
  <si>
    <t>14-1153713</t>
  </si>
  <si>
    <t>14-1153263</t>
  </si>
  <si>
    <t>14-15</t>
  </si>
  <si>
    <t>14-16</t>
  </si>
  <si>
    <t>14-1129354</t>
  </si>
  <si>
    <t>15-1156021</t>
  </si>
  <si>
    <t>15-1156892</t>
  </si>
  <si>
    <t>22-1155880</t>
  </si>
  <si>
    <t>22-1154296</t>
  </si>
  <si>
    <t>22-1158004</t>
  </si>
  <si>
    <t>25-1134122</t>
  </si>
  <si>
    <t>25-1151614</t>
  </si>
  <si>
    <t>25-1157795</t>
  </si>
  <si>
    <t>25-10</t>
  </si>
  <si>
    <t>25-1157605</t>
  </si>
  <si>
    <t>28-1157843</t>
  </si>
  <si>
    <t>31-1156242</t>
  </si>
  <si>
    <t>31-1135631</t>
  </si>
  <si>
    <t>31-1156331</t>
  </si>
  <si>
    <t>31-1134125</t>
  </si>
  <si>
    <t>31-7</t>
  </si>
  <si>
    <t>31-1155754</t>
  </si>
  <si>
    <t>31-8</t>
  </si>
  <si>
    <t>31-1131561</t>
  </si>
  <si>
    <t>31-9</t>
  </si>
  <si>
    <t>31-1157860</t>
  </si>
  <si>
    <t>31-10</t>
  </si>
  <si>
    <t>31-1150486</t>
  </si>
  <si>
    <t>31-11</t>
  </si>
  <si>
    <t>31-1158009</t>
  </si>
  <si>
    <t>31-12</t>
  </si>
  <si>
    <t>31-1157189</t>
  </si>
  <si>
    <t>31-13</t>
  </si>
  <si>
    <t>31-1149696</t>
  </si>
  <si>
    <t>31-14</t>
  </si>
  <si>
    <t>31-1157170</t>
  </si>
  <si>
    <t>CRY</t>
  </si>
  <si>
    <t>31-15</t>
  </si>
  <si>
    <t>31-1150421</t>
  </si>
  <si>
    <t>31-16</t>
  </si>
  <si>
    <t>31-17</t>
  </si>
  <si>
    <t>31-1157852</t>
  </si>
  <si>
    <t>31-18</t>
  </si>
  <si>
    <t>32-1156261</t>
  </si>
  <si>
    <t>32-2</t>
  </si>
  <si>
    <t>32-1157886</t>
  </si>
  <si>
    <t>32-3</t>
  </si>
  <si>
    <t>32-1158010</t>
  </si>
  <si>
    <t>33-1156645</t>
  </si>
  <si>
    <t>34-1157093</t>
  </si>
  <si>
    <t>34-2</t>
  </si>
  <si>
    <t>34-1155292</t>
  </si>
  <si>
    <t>34-3</t>
  </si>
  <si>
    <t>34-1152672</t>
  </si>
  <si>
    <t>34-4</t>
  </si>
  <si>
    <t>34-1149858</t>
  </si>
  <si>
    <t>42-1155895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</si>
</sst>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NumberFormat="1"/>
    <xf numFmtId="164" fontId="0" fillId="0" borderId="0" xfId="2" applyNumberFormat="1" applyFont="1"/>
    <xf numFmtId="14" fontId="0" fillId="0" borderId="0" xfId="0" applyNumberFormat="1"/>
    <xf numFmtId="165" fontId="0" fillId="0" borderId="0" xfId="1" applyNumberFormat="1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3" fontId="0" fillId="0" borderId="0" xfId="0" applyNumberFormat="1"/>
    <xf numFmtId="0" fontId="0" fillId="0" borderId="4" xfId="0" applyBorder="1"/>
    <xf numFmtId="0" fontId="0" fillId="0" borderId="5" xfId="0" applyBorder="1"/>
    <xf numFmtId="164" fontId="0" fillId="0" borderId="5" xfId="2" applyNumberFormat="1" applyFont="1" applyBorder="1"/>
    <xf numFmtId="3" fontId="0" fillId="0" borderId="5" xfId="0" applyNumberFormat="1" applyBorder="1"/>
    <xf numFmtId="3" fontId="0" fillId="0" borderId="6" xfId="0" applyNumberFormat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164" fontId="0" fillId="0" borderId="0" xfId="0" applyNumberFormat="1"/>
    <xf numFmtId="165" fontId="0" fillId="0" borderId="0" xfId="0" applyNumberFormat="1"/>
    <xf numFmtId="3" fontId="0" fillId="0" borderId="0" xfId="2" applyNumberFormat="1" applyFont="1"/>
    <xf numFmtId="0" fontId="4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13"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" formatCode="#,##0"/>
    </dxf>
    <dxf>
      <numFmt numFmtId="3" formatCode="#,##0"/>
    </dxf>
    <dxf>
      <numFmt numFmtId="164" formatCode="_(&quot;$&quot;* #,##0_);_(&quot;$&quot;* \(#,##0\);_(&quot;$&quot;* &quot;-&quot;??_);_(@_)"/>
    </dxf>
    <dxf>
      <numFmt numFmtId="3" formatCode="#,##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31E2B9A-3E20-43FD-8062-B9286F1A263C}" autoFormatId="16" applyNumberFormats="0" applyBorderFormats="0" applyFontFormats="0" applyPatternFormats="0" applyAlignmentFormats="0" applyWidthHeightFormats="0">
  <queryTableRefresh nextId="20">
    <queryTableFields count="10">
      <queryTableField id="1" name="WH" tableColumnId="1"/>
      <queryTableField id="11" name="PO_Number" tableColumnId="11"/>
      <queryTableField id="12" name="Vendor" tableColumnId="12"/>
      <queryTableField id="13" name="Units_Per_PO" tableColumnId="13"/>
      <queryTableField id="14" name="PO_Value" tableColumnId="14"/>
      <queryTableField id="15" name="PO_Part_Count" tableColumnId="15"/>
      <queryTableField id="16" name="New_Product" tableColumnId="16"/>
      <queryTableField id="17" name="Three_Days_Or_Less_Inv" tableColumnId="17"/>
      <queryTableField id="18" name="Normal_Replenishment" tableColumnId="18"/>
      <queryTableField id="19" name="Priority_Value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2D53F54-D514-4546-8765-605C679AAA3A}" autoFormatId="16" applyNumberFormats="0" applyBorderFormats="0" applyFontFormats="0" applyPatternFormats="0" applyAlignmentFormats="0" applyWidthHeightFormats="0">
  <queryTableRefresh nextId="18" unboundColumnsRight="1">
    <queryTableFields count="14">
      <queryTableField id="13" name="concatenationcolumn" tableColumnId="2"/>
      <queryTableField id="1" name="WH" tableColumnId="1"/>
      <queryTableField id="14" name="ranking" tableColumnId="13"/>
      <queryTableField id="3" name="PO_Number" tableColumnId="3"/>
      <queryTableField id="4" name="Vendor" tableColumnId="4"/>
      <queryTableField id="5" name="Arrival_Date" tableColumnId="5"/>
      <queryTableField id="6" name="PO_Value" tableColumnId="6"/>
      <queryTableField id="7" name="Part_Count" tableColumnId="7"/>
      <queryTableField id="8" name="Units_Per_PO" tableColumnId="8"/>
      <queryTableField id="9" name="total_newproduct" tableColumnId="9"/>
      <queryTableField id="10" name="total_threedaysinv" tableColumnId="10"/>
      <queryTableField id="11" name="total_normalreplenishment" tableColumnId="11"/>
      <queryTableField id="12" name="rerankedvalue" tableColumnId="12"/>
      <queryTableField id="17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FA9D98-B151-484E-A4AC-FC411EC015EA}" name="Query1" displayName="Query1" ref="A6:J21" tableType="queryTable" totalsRowShown="0">
  <autoFilter ref="A6:J21" xr:uid="{7134B0F2-6404-47C8-BBD6-860AB2A24893}"/>
  <tableColumns count="10">
    <tableColumn id="1" xr3:uid="{6980D12F-911A-4C1F-85A1-9D1B840BAF17}" uniqueName="1" name="WH" queryTableFieldId="1"/>
    <tableColumn id="11" xr3:uid="{E4458ADC-B8B4-4AB0-B074-4B6F183AB0F9}" uniqueName="11" name="PO_Number" queryTableFieldId="11"/>
    <tableColumn id="12" xr3:uid="{1051B080-1370-440C-A494-9CEFD19E1110}" uniqueName="12" name="Vendor" queryTableFieldId="12" dataDxfId="12"/>
    <tableColumn id="13" xr3:uid="{1016520B-2044-4025-8EB7-1EE39A59CE38}" uniqueName="13" name="Units_Per_PO" queryTableFieldId="13" dataDxfId="11" dataCellStyle="Currency"/>
    <tableColumn id="14" xr3:uid="{4703DF82-C834-4EAB-B716-A7A2E4C21100}" uniqueName="14" name="PO_Value" queryTableFieldId="14" dataDxfId="10" dataCellStyle="Currency"/>
    <tableColumn id="15" xr3:uid="{7DA5308B-4371-48C8-8E8F-0E5A882F2FED}" uniqueName="15" name="PO_Part_Count" queryTableFieldId="15" dataDxfId="9"/>
    <tableColumn id="16" xr3:uid="{E1D6A06E-795F-4B04-B452-134A73DBE70B}" uniqueName="16" name="New_Product" queryTableFieldId="16" dataDxfId="8"/>
    <tableColumn id="17" xr3:uid="{FB8BB18A-FB16-4960-9D14-F7988602A030}" uniqueName="17" name="Three_Days_Or_Less_Inv" queryTableFieldId="17" dataDxfId="7" dataCellStyle="Comma"/>
    <tableColumn id="18" xr3:uid="{6CEB2C78-140A-474D-8685-7F92C01F0A74}" uniqueName="18" name="Normal_Replenishment" queryTableFieldId="18" dataDxfId="6" dataCellStyle="Comma"/>
    <tableColumn id="19" xr3:uid="{2FE960F3-5062-4816-8A86-CEB4A8CF8D60}" uniqueName="19" name="Priority_Value" queryTableFieldId="19" dataDxfId="5" dataCellStyle="Comm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706554-9D86-46BE-A67C-7F7CA4FC11C7}" name="Query2" displayName="Query2" ref="B1:O184" tableType="queryTable" totalsRowShown="0">
  <autoFilter ref="B1:O184" xr:uid="{C5684B71-6F13-49DD-AD89-9D9F75FC5607}"/>
  <tableColumns count="14">
    <tableColumn id="2" xr3:uid="{9005F54E-53DF-48B4-A557-36523FF39E4E}" uniqueName="2" name="concatenationcolumn" queryTableFieldId="13" dataDxfId="4"/>
    <tableColumn id="1" xr3:uid="{C8B18345-67B1-4501-A4FF-7239DD7B7552}" uniqueName="1" name="wh" queryTableFieldId="1"/>
    <tableColumn id="13" xr3:uid="{61A8468D-6CDE-4807-89AA-6EE5289B2A28}" uniqueName="13" name="ranking" queryTableFieldId="14"/>
    <tableColumn id="3" xr3:uid="{EA398B77-2303-455E-BB05-19EE820829E0}" uniqueName="3" name="po_number" queryTableFieldId="3" dataDxfId="3"/>
    <tableColumn id="4" xr3:uid="{406DFDB3-4EF4-4B89-8DFD-B878F9488B8E}" uniqueName="4" name="vendor" queryTableFieldId="4" dataDxfId="2"/>
    <tableColumn id="5" xr3:uid="{857BD5FA-8FF5-4F23-B86C-E373EE950DFB}" uniqueName="5" name="Arrival_Date" queryTableFieldId="5" dataDxfId="1"/>
    <tableColumn id="6" xr3:uid="{5E1E3702-C3D0-4192-8E07-0A7E498CDCEF}" uniqueName="6" name="Po_Value" queryTableFieldId="6"/>
    <tableColumn id="7" xr3:uid="{6F59BEA3-4395-490E-93AF-01A3CF3CDC85}" uniqueName="7" name="Part_Count" queryTableFieldId="7"/>
    <tableColumn id="8" xr3:uid="{A44D6E80-6988-41A6-A57F-C33DF8C744D9}" uniqueName="8" name="Units_Per_PO" queryTableFieldId="8"/>
    <tableColumn id="9" xr3:uid="{2C25447A-532F-4D1E-95DF-05A0EC69CFC6}" uniqueName="9" name="total_newproduct" queryTableFieldId="9"/>
    <tableColumn id="10" xr3:uid="{5D078CBA-EED4-4685-85E8-46AB22083CA7}" uniqueName="10" name="total_threedaysinv" queryTableFieldId="10"/>
    <tableColumn id="11" xr3:uid="{474B5379-C6AF-4FB8-BA4F-A8D255748CBE}" uniqueName="11" name="total_normalreplenishment" queryTableFieldId="11"/>
    <tableColumn id="12" xr3:uid="{6534FBBE-B60D-4C48-8D3E-50F5B3F2F653}" uniqueName="12" name="rerankedvalue" queryTableFieldId="12"/>
    <tableColumn id="14" xr3:uid="{F6D2AE82-F072-498F-948A-0A7B0BBB30A4}" uniqueName="14" name="Column1" queryTableFieldId="17" dataDxfId="0">
      <calculatedColumnFormula>IF(Query2[[#This Row],[ranking]]=1,1,O1+1)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13794-05E0-4904-AEAA-AB2078E52B59}">
  <sheetPr codeName="Sheet1"/>
  <dimension ref="A1:J21"/>
  <sheetViews>
    <sheetView tabSelected="1" workbookViewId="0">
      <selection activeCell="F16" sqref="F16"/>
    </sheetView>
  </sheetViews>
  <sheetFormatPr defaultRowHeight="14.4" x14ac:dyDescent="0.3"/>
  <cols>
    <col min="1" max="1" width="6.21875" bestFit="1" customWidth="1"/>
    <col min="2" max="2" width="13.5546875" bestFit="1" customWidth="1"/>
    <col min="3" max="3" width="9.44140625" bestFit="1" customWidth="1"/>
    <col min="4" max="4" width="14.77734375" bestFit="1" customWidth="1"/>
    <col min="5" max="5" width="11.44140625" bestFit="1" customWidth="1"/>
    <col min="6" max="6" width="16.33203125" bestFit="1" customWidth="1"/>
    <col min="7" max="7" width="14.6640625" bestFit="1" customWidth="1"/>
    <col min="8" max="8" width="24.44140625" bestFit="1" customWidth="1"/>
    <col min="9" max="9" width="23.21875" bestFit="1" customWidth="1"/>
    <col min="10" max="10" width="15.109375" bestFit="1" customWidth="1"/>
    <col min="11" max="11" width="9.21875" bestFit="1" customWidth="1"/>
    <col min="12" max="12" width="13.44140625" bestFit="1" customWidth="1"/>
    <col min="13" max="13" width="17.33203125" bestFit="1" customWidth="1"/>
    <col min="14" max="14" width="19.21875" bestFit="1" customWidth="1"/>
    <col min="15" max="15" width="17.5546875" bestFit="1" customWidth="1"/>
    <col min="16" max="16" width="20.44140625" bestFit="1" customWidth="1"/>
    <col min="17" max="17" width="17.44140625" bestFit="1" customWidth="1"/>
    <col min="18" max="18" width="28" bestFit="1" customWidth="1"/>
    <col min="19" max="19" width="22.21875" bestFit="1" customWidth="1"/>
  </cols>
  <sheetData>
    <row r="1" spans="1:10" ht="18.600000000000001" thickBot="1" x14ac:dyDescent="0.4">
      <c r="A1" s="22" t="s">
        <v>60</v>
      </c>
      <c r="B1" s="23"/>
      <c r="C1" s="23"/>
      <c r="D1" s="23"/>
      <c r="E1" s="23"/>
      <c r="F1" s="23"/>
      <c r="G1" s="23"/>
      <c r="H1" s="23"/>
      <c r="I1" s="23"/>
      <c r="J1" s="24"/>
    </row>
    <row r="2" spans="1:10" x14ac:dyDescent="0.3">
      <c r="A2" s="13" t="s">
        <v>0</v>
      </c>
      <c r="B2" s="14" t="s">
        <v>2</v>
      </c>
      <c r="C2" s="14" t="s">
        <v>3</v>
      </c>
      <c r="D2" s="14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5" t="s">
        <v>10</v>
      </c>
    </row>
    <row r="3" spans="1:10" x14ac:dyDescent="0.3">
      <c r="A3" t="s">
        <v>1</v>
      </c>
      <c r="B3" t="s">
        <v>1</v>
      </c>
      <c r="C3" t="s">
        <v>1</v>
      </c>
      <c r="D3" s="7">
        <f>SUM(Query1[Units_Per_PO])</f>
        <v>133192</v>
      </c>
      <c r="E3" s="16">
        <f>SUM(Query1[PO_Value])</f>
        <v>2090696.0500000003</v>
      </c>
      <c r="F3" s="7">
        <f>SUM(Query1[PO_Part_Count])</f>
        <v>5162</v>
      </c>
      <c r="G3" s="7">
        <f>SUM(Query1[New_Product])</f>
        <v>9473.73</v>
      </c>
      <c r="H3" s="17">
        <f>SUM(Query1[Three_Days_Or_Less_Inv])</f>
        <v>737787.49000000034</v>
      </c>
      <c r="I3" s="17">
        <f>SUM(Query1[Normal_Replenishment])</f>
        <v>1343434.8299999998</v>
      </c>
      <c r="J3" s="17">
        <f>SUM(Query1[Priority_Value])</f>
        <v>742524.35500000033</v>
      </c>
    </row>
    <row r="4" spans="1:10" ht="15" thickBot="1" x14ac:dyDescent="0.35"/>
    <row r="5" spans="1:10" ht="18.600000000000001" thickBot="1" x14ac:dyDescent="0.4">
      <c r="A5" s="19" t="s">
        <v>63</v>
      </c>
      <c r="B5" s="20"/>
      <c r="C5" s="20"/>
      <c r="D5" s="20"/>
      <c r="E5" s="20"/>
      <c r="F5" s="20"/>
      <c r="G5" s="20"/>
      <c r="H5" s="20"/>
      <c r="I5" s="20"/>
      <c r="J5" s="21"/>
    </row>
    <row r="6" spans="1:10" x14ac:dyDescent="0.3">
      <c r="A6" t="s">
        <v>0</v>
      </c>
      <c r="B6" t="s">
        <v>2</v>
      </c>
      <c r="C6" t="s">
        <v>3</v>
      </c>
      <c r="D6" t="s">
        <v>4</v>
      </c>
      <c r="E6" t="s">
        <v>5</v>
      </c>
      <c r="F6" t="s">
        <v>6</v>
      </c>
      <c r="G6" t="s">
        <v>7</v>
      </c>
      <c r="H6" t="s">
        <v>8</v>
      </c>
      <c r="I6" t="s">
        <v>9</v>
      </c>
      <c r="J6" t="s">
        <v>10</v>
      </c>
    </row>
    <row r="7" spans="1:10" x14ac:dyDescent="0.3">
      <c r="A7">
        <v>1</v>
      </c>
      <c r="B7">
        <v>45</v>
      </c>
      <c r="C7" s="1" t="s">
        <v>1</v>
      </c>
      <c r="D7" s="18">
        <v>71490</v>
      </c>
      <c r="E7" s="2">
        <v>1192884.76</v>
      </c>
      <c r="F7" s="7">
        <v>1578</v>
      </c>
      <c r="G7" s="7">
        <v>2045.6</v>
      </c>
      <c r="H7" s="4">
        <v>468901.64</v>
      </c>
      <c r="I7" s="4">
        <v>721937.52</v>
      </c>
      <c r="J7" s="4">
        <v>469924.44</v>
      </c>
    </row>
    <row r="8" spans="1:10" x14ac:dyDescent="0.3">
      <c r="A8">
        <v>6</v>
      </c>
      <c r="B8">
        <v>25</v>
      </c>
      <c r="C8" s="1" t="s">
        <v>1</v>
      </c>
      <c r="D8" s="18">
        <v>10214</v>
      </c>
      <c r="E8" s="2">
        <v>144301.34</v>
      </c>
      <c r="F8" s="7">
        <v>382</v>
      </c>
      <c r="G8" s="7">
        <v>1601.82</v>
      </c>
      <c r="H8" s="4">
        <v>47150.42</v>
      </c>
      <c r="I8" s="4">
        <v>95549.1</v>
      </c>
      <c r="J8" s="4">
        <v>47951.33</v>
      </c>
    </row>
    <row r="9" spans="1:10" x14ac:dyDescent="0.3">
      <c r="A9">
        <v>7</v>
      </c>
      <c r="B9">
        <v>8</v>
      </c>
      <c r="C9" s="1" t="s">
        <v>1</v>
      </c>
      <c r="D9" s="18">
        <v>2831</v>
      </c>
      <c r="E9" s="2">
        <v>93084.01</v>
      </c>
      <c r="F9" s="7">
        <v>159</v>
      </c>
      <c r="G9" s="7">
        <v>0</v>
      </c>
      <c r="H9" s="4">
        <v>7408.63</v>
      </c>
      <c r="I9" s="4">
        <v>85675.38</v>
      </c>
      <c r="J9" s="4">
        <v>7408.63</v>
      </c>
    </row>
    <row r="10" spans="1:10" x14ac:dyDescent="0.3">
      <c r="A10">
        <v>14</v>
      </c>
      <c r="B10">
        <v>16</v>
      </c>
      <c r="C10" s="1" t="s">
        <v>1</v>
      </c>
      <c r="D10" s="18">
        <v>5958</v>
      </c>
      <c r="E10" s="2">
        <v>124135.31</v>
      </c>
      <c r="F10" s="7">
        <v>380</v>
      </c>
      <c r="G10" s="7">
        <v>0</v>
      </c>
      <c r="H10" s="4">
        <v>31052.49</v>
      </c>
      <c r="I10" s="4">
        <v>93082.82</v>
      </c>
      <c r="J10" s="4">
        <v>31052.49</v>
      </c>
    </row>
    <row r="11" spans="1:10" x14ac:dyDescent="0.3">
      <c r="A11">
        <v>15</v>
      </c>
      <c r="B11">
        <v>6</v>
      </c>
      <c r="C11" s="1" t="s">
        <v>1</v>
      </c>
      <c r="D11" s="18">
        <v>6491</v>
      </c>
      <c r="E11" s="2">
        <v>28546.11</v>
      </c>
      <c r="F11" s="7">
        <v>610</v>
      </c>
      <c r="G11" s="7">
        <v>1823.04</v>
      </c>
      <c r="H11" s="4">
        <v>11150.37</v>
      </c>
      <c r="I11" s="4">
        <v>15572.7</v>
      </c>
      <c r="J11" s="4">
        <v>12061.89</v>
      </c>
    </row>
    <row r="12" spans="1:10" x14ac:dyDescent="0.3">
      <c r="A12">
        <v>20</v>
      </c>
      <c r="B12">
        <v>2</v>
      </c>
      <c r="C12" s="1" t="s">
        <v>1</v>
      </c>
      <c r="D12" s="18">
        <v>2796</v>
      </c>
      <c r="E12" s="2">
        <v>16008.34</v>
      </c>
      <c r="F12" s="7">
        <v>604</v>
      </c>
      <c r="G12" s="7">
        <v>1782.82</v>
      </c>
      <c r="H12" s="4">
        <v>14225.52</v>
      </c>
      <c r="I12" s="4">
        <v>0</v>
      </c>
      <c r="J12" s="4">
        <v>15116.93</v>
      </c>
    </row>
    <row r="13" spans="1:10" x14ac:dyDescent="0.3">
      <c r="A13">
        <v>22</v>
      </c>
      <c r="B13">
        <v>3</v>
      </c>
      <c r="C13" s="1" t="s">
        <v>1</v>
      </c>
      <c r="D13" s="18">
        <v>240</v>
      </c>
      <c r="E13" s="2">
        <v>2000.18</v>
      </c>
      <c r="F13" s="7">
        <v>8</v>
      </c>
      <c r="G13" s="7">
        <v>0</v>
      </c>
      <c r="H13" s="4">
        <v>1463.68</v>
      </c>
      <c r="I13" s="4">
        <v>536.5</v>
      </c>
      <c r="J13" s="4">
        <v>1463.68</v>
      </c>
    </row>
    <row r="14" spans="1:10" x14ac:dyDescent="0.3">
      <c r="A14">
        <v>24</v>
      </c>
      <c r="B14">
        <v>8</v>
      </c>
      <c r="C14" s="1" t="s">
        <v>1</v>
      </c>
      <c r="D14" s="18">
        <v>4129</v>
      </c>
      <c r="E14" s="2">
        <v>67416.59</v>
      </c>
      <c r="F14" s="7">
        <v>236</v>
      </c>
      <c r="G14" s="7">
        <v>1308.3599999999999</v>
      </c>
      <c r="H14" s="4">
        <v>18548.55</v>
      </c>
      <c r="I14" s="4">
        <v>47559.68</v>
      </c>
      <c r="J14" s="4">
        <v>19202.73</v>
      </c>
    </row>
    <row r="15" spans="1:10" x14ac:dyDescent="0.3">
      <c r="A15">
        <v>25</v>
      </c>
      <c r="B15">
        <v>13</v>
      </c>
      <c r="C15" s="1" t="s">
        <v>1</v>
      </c>
      <c r="D15" s="18">
        <v>6976</v>
      </c>
      <c r="E15" s="2">
        <v>101673.16</v>
      </c>
      <c r="F15" s="7">
        <v>265</v>
      </c>
      <c r="G15" s="7">
        <v>270</v>
      </c>
      <c r="H15" s="4">
        <v>40151.050000000003</v>
      </c>
      <c r="I15" s="4">
        <v>61252.11</v>
      </c>
      <c r="J15" s="4">
        <v>40286.050000000003</v>
      </c>
    </row>
    <row r="16" spans="1:10" x14ac:dyDescent="0.3">
      <c r="A16">
        <v>28</v>
      </c>
      <c r="B16">
        <v>15</v>
      </c>
      <c r="C16" s="1" t="s">
        <v>1</v>
      </c>
      <c r="D16" s="18">
        <v>4359</v>
      </c>
      <c r="E16" s="2">
        <v>83578.399999999994</v>
      </c>
      <c r="F16" s="7">
        <v>326</v>
      </c>
      <c r="G16" s="7">
        <v>372.09</v>
      </c>
      <c r="H16" s="4">
        <v>20465.25</v>
      </c>
      <c r="I16" s="4">
        <v>62741.06</v>
      </c>
      <c r="J16" s="4">
        <v>20651.294999999998</v>
      </c>
    </row>
    <row r="17" spans="1:10" x14ac:dyDescent="0.3">
      <c r="A17">
        <v>31</v>
      </c>
      <c r="B17">
        <v>18</v>
      </c>
      <c r="C17" s="1" t="s">
        <v>1</v>
      </c>
      <c r="D17" s="18">
        <v>6406</v>
      </c>
      <c r="E17" s="2">
        <v>95610.61</v>
      </c>
      <c r="F17" s="7">
        <v>231</v>
      </c>
      <c r="G17" s="7">
        <v>0</v>
      </c>
      <c r="H17" s="4">
        <v>38859.94</v>
      </c>
      <c r="I17" s="4">
        <v>56750.67</v>
      </c>
      <c r="J17" s="4">
        <v>38859.94</v>
      </c>
    </row>
    <row r="18" spans="1:10" x14ac:dyDescent="0.3">
      <c r="A18">
        <v>32</v>
      </c>
      <c r="B18">
        <v>3</v>
      </c>
      <c r="C18" s="1" t="s">
        <v>1</v>
      </c>
      <c r="D18" s="18">
        <v>445</v>
      </c>
      <c r="E18" s="2">
        <v>10266.540000000001</v>
      </c>
      <c r="F18" s="7">
        <v>13</v>
      </c>
      <c r="G18" s="7">
        <v>0</v>
      </c>
      <c r="H18" s="4">
        <v>3968.4</v>
      </c>
      <c r="I18" s="4">
        <v>6298.14</v>
      </c>
      <c r="J18" s="4">
        <v>3968.4</v>
      </c>
    </row>
    <row r="19" spans="1:10" x14ac:dyDescent="0.3">
      <c r="A19">
        <v>33</v>
      </c>
      <c r="B19">
        <v>8</v>
      </c>
      <c r="C19" s="1" t="s">
        <v>1</v>
      </c>
      <c r="D19" s="18">
        <v>1054</v>
      </c>
      <c r="E19" s="2">
        <v>26802.22</v>
      </c>
      <c r="F19" s="7">
        <v>51</v>
      </c>
      <c r="G19" s="7">
        <v>0</v>
      </c>
      <c r="H19" s="4">
        <v>10608.41</v>
      </c>
      <c r="I19" s="4">
        <v>16193.81</v>
      </c>
      <c r="J19" s="4">
        <v>10608.41</v>
      </c>
    </row>
    <row r="20" spans="1:10" x14ac:dyDescent="0.3">
      <c r="A20">
        <v>34</v>
      </c>
      <c r="B20">
        <v>4</v>
      </c>
      <c r="C20" s="1" t="s">
        <v>1</v>
      </c>
      <c r="D20" s="18">
        <v>1463</v>
      </c>
      <c r="E20" s="2">
        <v>21284.68</v>
      </c>
      <c r="F20" s="7">
        <v>79</v>
      </c>
      <c r="G20" s="7">
        <v>270</v>
      </c>
      <c r="H20" s="4">
        <v>4703.54</v>
      </c>
      <c r="I20" s="4">
        <v>16311.14</v>
      </c>
      <c r="J20" s="4">
        <v>4838.54</v>
      </c>
    </row>
    <row r="21" spans="1:10" x14ac:dyDescent="0.3">
      <c r="A21">
        <v>42</v>
      </c>
      <c r="B21">
        <v>9</v>
      </c>
      <c r="C21" s="1" t="s">
        <v>1</v>
      </c>
      <c r="D21" s="18">
        <v>8340</v>
      </c>
      <c r="E21" s="2">
        <v>83103.8</v>
      </c>
      <c r="F21" s="7">
        <v>240</v>
      </c>
      <c r="G21" s="7">
        <v>0</v>
      </c>
      <c r="H21" s="4">
        <v>19129.599999999999</v>
      </c>
      <c r="I21" s="4">
        <v>63974.2</v>
      </c>
      <c r="J21" s="4">
        <v>19129.599999999999</v>
      </c>
    </row>
  </sheetData>
  <mergeCells count="2">
    <mergeCell ref="A5:J5"/>
    <mergeCell ref="A1:J1"/>
  </mergeCells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F4DCE-A71A-4444-B05D-10EEC46C0CFD}">
  <sheetPr codeName="Sheet2"/>
  <dimension ref="A1:I304"/>
  <sheetViews>
    <sheetView workbookViewId="0">
      <selection activeCell="C1" sqref="C1"/>
    </sheetView>
  </sheetViews>
  <sheetFormatPr defaultRowHeight="14.4" x14ac:dyDescent="0.3"/>
  <cols>
    <col min="1" max="1" width="3.44140625" customWidth="1"/>
    <col min="2" max="2" width="6.88671875" customWidth="1"/>
    <col min="3" max="3" width="12.5546875" bestFit="1" customWidth="1"/>
    <col min="4" max="4" width="11.33203125" bestFit="1" customWidth="1"/>
    <col min="5" max="5" width="9.6640625" bestFit="1" customWidth="1"/>
    <col min="6" max="6" width="11.33203125" bestFit="1" customWidth="1"/>
    <col min="7" max="7" width="12.44140625" bestFit="1" customWidth="1"/>
    <col min="8" max="8" width="11.44140625" bestFit="1" customWidth="1"/>
    <col min="9" max="9" width="12.5546875" bestFit="1" customWidth="1"/>
  </cols>
  <sheetData>
    <row r="1" spans="1:9" x14ac:dyDescent="0.3">
      <c r="C1" s="5" t="s">
        <v>49</v>
      </c>
      <c r="D1">
        <v>1</v>
      </c>
      <c r="E1" s="27" t="s">
        <v>62</v>
      </c>
      <c r="F1" s="27"/>
      <c r="G1" s="27"/>
      <c r="H1" s="27"/>
    </row>
    <row r="2" spans="1:9" ht="15" thickBot="1" x14ac:dyDescent="0.35"/>
    <row r="3" spans="1:9" ht="18.600000000000001" thickBot="1" x14ac:dyDescent="0.4">
      <c r="C3" s="19" t="s">
        <v>60</v>
      </c>
      <c r="D3" s="25"/>
      <c r="E3" s="25"/>
      <c r="F3" s="25"/>
      <c r="G3" s="25"/>
      <c r="H3" s="26"/>
    </row>
    <row r="4" spans="1:9" x14ac:dyDescent="0.3">
      <c r="C4" s="6" t="s">
        <v>0</v>
      </c>
      <c r="D4" s="6" t="s">
        <v>58</v>
      </c>
      <c r="E4" s="6" t="s">
        <v>3</v>
      </c>
      <c r="F4" s="6" t="s">
        <v>52</v>
      </c>
      <c r="G4" s="6" t="s">
        <v>59</v>
      </c>
      <c r="H4" s="6" t="s">
        <v>54</v>
      </c>
    </row>
    <row r="5" spans="1:9" x14ac:dyDescent="0.3">
      <c r="C5" s="8">
        <f>D1</f>
        <v>1</v>
      </c>
      <c r="D5" s="9">
        <f>COUNTA(D10:D300)-COUNTIF(D10:D300,"")</f>
        <v>45</v>
      </c>
      <c r="E5" s="9" t="s">
        <v>1</v>
      </c>
      <c r="F5" s="10">
        <f>SUM(G10:G300)</f>
        <v>1192884.76</v>
      </c>
      <c r="G5" s="11">
        <f>SUM(H10:H300)</f>
        <v>1578</v>
      </c>
      <c r="H5" s="12">
        <f>SUM(I10:I300)</f>
        <v>71490</v>
      </c>
    </row>
    <row r="7" spans="1:9" ht="15" thickBot="1" x14ac:dyDescent="0.35"/>
    <row r="8" spans="1:9" ht="18.600000000000001" thickBot="1" x14ac:dyDescent="0.4">
      <c r="C8" s="19" t="s">
        <v>61</v>
      </c>
      <c r="D8" s="25"/>
      <c r="E8" s="25"/>
      <c r="F8" s="25"/>
      <c r="G8" s="25"/>
      <c r="H8" s="25"/>
      <c r="I8" s="26"/>
    </row>
    <row r="9" spans="1:9" x14ac:dyDescent="0.3">
      <c r="A9" s="6" t="s">
        <v>56</v>
      </c>
      <c r="B9" s="6" t="s">
        <v>57</v>
      </c>
      <c r="C9" s="6" t="s">
        <v>11</v>
      </c>
      <c r="D9" s="6" t="s">
        <v>50</v>
      </c>
      <c r="E9" s="6" t="s">
        <v>3</v>
      </c>
      <c r="F9" s="6" t="s">
        <v>51</v>
      </c>
      <c r="G9" s="6" t="s">
        <v>52</v>
      </c>
      <c r="H9" s="6" t="s">
        <v>53</v>
      </c>
      <c r="I9" s="6" t="s">
        <v>54</v>
      </c>
    </row>
    <row r="10" spans="1:9" x14ac:dyDescent="0.3">
      <c r="A10">
        <v>1</v>
      </c>
      <c r="B10" t="str">
        <f>$D$1&amp;"-"&amp;A10</f>
        <v>1-1</v>
      </c>
      <c r="C10">
        <f>IFERROR(VLOOKUP($B10,'Raw Data by WH'!$A$1:$O$999999,15,FALSE),"")</f>
        <v>1</v>
      </c>
      <c r="D10" t="str">
        <f>IFERROR(VLOOKUP($B10,'Raw Data by WH'!$A$1:$O$999999,5,FALSE),"")</f>
        <v>1-1150469</v>
      </c>
      <c r="E10" t="str">
        <f>IFERROR(VLOOKUP($B10,'Raw Data by WH'!$A$1:$O$999999,6,FALSE),"")</f>
        <v>MMM</v>
      </c>
      <c r="F10" s="3">
        <f>IFERROR(VLOOKUP($B10,'Raw Data by WH'!$A$1:$O$999999,7,FALSE),"")</f>
        <v>43992</v>
      </c>
      <c r="G10" s="2">
        <f>IFERROR(VLOOKUP($B10,'Raw Data by WH'!$A$1:$O$999999,8,FALSE),"")</f>
        <v>145408.82999999999</v>
      </c>
      <c r="H10" s="7">
        <f>IFERROR(VLOOKUP($B10,'Raw Data by WH'!$A$1:$O$999999,9,FALSE),"")</f>
        <v>251</v>
      </c>
      <c r="I10" s="7">
        <f>IFERROR(VLOOKUP($B10,'Raw Data by WH'!$A$1:$O$999999,10,FALSE),"")</f>
        <v>7567</v>
      </c>
    </row>
    <row r="11" spans="1:9" x14ac:dyDescent="0.3">
      <c r="A11">
        <f>A10+1</f>
        <v>2</v>
      </c>
      <c r="B11" t="str">
        <f t="shared" ref="B11:B63" si="0">$D$1&amp;"-"&amp;A11</f>
        <v>1-2</v>
      </c>
      <c r="C11">
        <f>IFERROR(VLOOKUP($B11,'Raw Data by WH'!$A$1:$O$999999,15,FALSE),"")</f>
        <v>2</v>
      </c>
      <c r="D11" t="str">
        <f>IFERROR(VLOOKUP($B11,'Raw Data by WH'!$A$1:$O$999999,5,FALSE),"")</f>
        <v>1-1134108</v>
      </c>
      <c r="E11" t="str">
        <f>IFERROR(VLOOKUP($B11,'Raw Data by WH'!$A$1:$O$999999,6,FALSE),"")</f>
        <v>PPM</v>
      </c>
      <c r="F11" s="3">
        <f>IFERROR(VLOOKUP($B11,'Raw Data by WH'!$A$1:$O$999999,7,FALSE),"")</f>
        <v>43999</v>
      </c>
      <c r="G11" s="2">
        <f>IFERROR(VLOOKUP($B11,'Raw Data by WH'!$A$1:$O$999999,8,FALSE),"")</f>
        <v>115363.2</v>
      </c>
      <c r="H11" s="7">
        <f>IFERROR(VLOOKUP($B11,'Raw Data by WH'!$A$1:$O$999999,9,FALSE),"")</f>
        <v>3</v>
      </c>
      <c r="I11" s="7">
        <f>IFERROR(VLOOKUP($B11,'Raw Data by WH'!$A$1:$O$999999,10,FALSE),"")</f>
        <v>3440</v>
      </c>
    </row>
    <row r="12" spans="1:9" x14ac:dyDescent="0.3">
      <c r="A12">
        <f t="shared" ref="A12:A36" si="1">A11+1</f>
        <v>3</v>
      </c>
      <c r="B12" t="str">
        <f t="shared" si="0"/>
        <v>1-3</v>
      </c>
      <c r="C12">
        <f>IFERROR(VLOOKUP($B12,'Raw Data by WH'!$A$1:$O$999999,15,FALSE),"")</f>
        <v>3</v>
      </c>
      <c r="D12" t="str">
        <f>IFERROR(VLOOKUP($B12,'Raw Data by WH'!$A$1:$O$999999,5,FALSE),"")</f>
        <v>1-1154746</v>
      </c>
      <c r="E12" t="str">
        <f>IFERROR(VLOOKUP($B12,'Raw Data by WH'!$A$1:$O$999999,6,FALSE),"")</f>
        <v>MMM</v>
      </c>
      <c r="F12" s="3">
        <f>IFERROR(VLOOKUP($B12,'Raw Data by WH'!$A$1:$O$999999,7,FALSE),"")</f>
        <v>43992</v>
      </c>
      <c r="G12" s="2">
        <f>IFERROR(VLOOKUP($B12,'Raw Data by WH'!$A$1:$O$999999,8,FALSE),"")</f>
        <v>146969.91</v>
      </c>
      <c r="H12" s="7">
        <f>IFERROR(VLOOKUP($B12,'Raw Data by WH'!$A$1:$O$999999,9,FALSE),"")</f>
        <v>178</v>
      </c>
      <c r="I12" s="7">
        <f>IFERROR(VLOOKUP($B12,'Raw Data by WH'!$A$1:$O$999999,10,FALSE),"")</f>
        <v>5680</v>
      </c>
    </row>
    <row r="13" spans="1:9" x14ac:dyDescent="0.3">
      <c r="A13">
        <f t="shared" si="1"/>
        <v>4</v>
      </c>
      <c r="B13" t="str">
        <f t="shared" si="0"/>
        <v>1-4</v>
      </c>
      <c r="C13">
        <f>IFERROR(VLOOKUP($B13,'Raw Data by WH'!$A$1:$O$999999,15,FALSE),"")</f>
        <v>4</v>
      </c>
      <c r="D13" t="str">
        <f>IFERROR(VLOOKUP($B13,'Raw Data by WH'!$A$1:$O$999999,5,FALSE),"")</f>
        <v>1-1156032</v>
      </c>
      <c r="E13" t="str">
        <f>IFERROR(VLOOKUP($B13,'Raw Data by WH'!$A$1:$O$999999,6,FALSE),"")</f>
        <v>MMM</v>
      </c>
      <c r="F13" s="3">
        <f>IFERROR(VLOOKUP($B13,'Raw Data by WH'!$A$1:$O$999999,7,FALSE),"")</f>
        <v>43999</v>
      </c>
      <c r="G13" s="2">
        <f>IFERROR(VLOOKUP($B13,'Raw Data by WH'!$A$1:$O$999999,8,FALSE),"")</f>
        <v>74544.12</v>
      </c>
      <c r="H13" s="7">
        <f>IFERROR(VLOOKUP($B13,'Raw Data by WH'!$A$1:$O$999999,9,FALSE),"")</f>
        <v>70</v>
      </c>
      <c r="I13" s="7">
        <f>IFERROR(VLOOKUP($B13,'Raw Data by WH'!$A$1:$O$999999,10,FALSE),"")</f>
        <v>3702</v>
      </c>
    </row>
    <row r="14" spans="1:9" x14ac:dyDescent="0.3">
      <c r="A14">
        <f t="shared" si="1"/>
        <v>5</v>
      </c>
      <c r="B14" t="str">
        <f t="shared" si="0"/>
        <v>1-5</v>
      </c>
      <c r="C14">
        <f>IFERROR(VLOOKUP($B14,'Raw Data by WH'!$A$1:$O$999999,15,FALSE),"")</f>
        <v>5</v>
      </c>
      <c r="D14" t="str">
        <f>IFERROR(VLOOKUP($B14,'Raw Data by WH'!$A$1:$O$999999,5,FALSE),"")</f>
        <v>1-1148885</v>
      </c>
      <c r="E14" t="str">
        <f>IFERROR(VLOOKUP($B14,'Raw Data by WH'!$A$1:$O$999999,6,FALSE),"")</f>
        <v>MMM</v>
      </c>
      <c r="F14" s="3">
        <f>IFERROR(VLOOKUP($B14,'Raw Data by WH'!$A$1:$O$999999,7,FALSE),"")</f>
        <v>43992</v>
      </c>
      <c r="G14" s="2">
        <f>IFERROR(VLOOKUP($B14,'Raw Data by WH'!$A$1:$O$999999,8,FALSE),"")</f>
        <v>38184.42</v>
      </c>
      <c r="H14" s="7">
        <f>IFERROR(VLOOKUP($B14,'Raw Data by WH'!$A$1:$O$999999,9,FALSE),"")</f>
        <v>78</v>
      </c>
      <c r="I14" s="7">
        <f>IFERROR(VLOOKUP($B14,'Raw Data by WH'!$A$1:$O$999999,10,FALSE),"")</f>
        <v>1999</v>
      </c>
    </row>
    <row r="15" spans="1:9" x14ac:dyDescent="0.3">
      <c r="A15">
        <f t="shared" si="1"/>
        <v>6</v>
      </c>
      <c r="B15" t="str">
        <f t="shared" si="0"/>
        <v>1-6</v>
      </c>
      <c r="C15">
        <f>IFERROR(VLOOKUP($B15,'Raw Data by WH'!$A$1:$O$999999,15,FALSE),"")</f>
        <v>6</v>
      </c>
      <c r="D15" t="str">
        <f>IFERROR(VLOOKUP($B15,'Raw Data by WH'!$A$1:$O$999999,5,FALSE),"")</f>
        <v>1-1154258</v>
      </c>
      <c r="E15" t="str">
        <f>IFERROR(VLOOKUP($B15,'Raw Data by WH'!$A$1:$O$999999,6,FALSE),"")</f>
        <v>LUSI</v>
      </c>
      <c r="F15" s="3">
        <f>IFERROR(VLOOKUP($B15,'Raw Data by WH'!$A$1:$O$999999,7,FALSE),"")</f>
        <v>43994</v>
      </c>
      <c r="G15" s="2">
        <f>IFERROR(VLOOKUP($B15,'Raw Data by WH'!$A$1:$O$999999,8,FALSE),"")</f>
        <v>61572.62</v>
      </c>
      <c r="H15" s="7">
        <f>IFERROR(VLOOKUP($B15,'Raw Data by WH'!$A$1:$O$999999,9,FALSE),"")</f>
        <v>65</v>
      </c>
      <c r="I15" s="7">
        <f>IFERROR(VLOOKUP($B15,'Raw Data by WH'!$A$1:$O$999999,10,FALSE),"")</f>
        <v>2110</v>
      </c>
    </row>
    <row r="16" spans="1:9" x14ac:dyDescent="0.3">
      <c r="A16">
        <f t="shared" si="1"/>
        <v>7</v>
      </c>
      <c r="B16" t="str">
        <f t="shared" si="0"/>
        <v>1-7</v>
      </c>
      <c r="C16">
        <f>IFERROR(VLOOKUP($B16,'Raw Data by WH'!$A$1:$O$999999,15,FALSE),"")</f>
        <v>7</v>
      </c>
      <c r="D16" t="str">
        <f>IFERROR(VLOOKUP($B16,'Raw Data by WH'!$A$1:$O$999999,5,FALSE),"")</f>
        <v>1-1155476</v>
      </c>
      <c r="E16" t="str">
        <f>IFERROR(VLOOKUP($B16,'Raw Data by WH'!$A$1:$O$999999,6,FALSE),"")</f>
        <v>SEM</v>
      </c>
      <c r="F16" s="3">
        <f>IFERROR(VLOOKUP($B16,'Raw Data by WH'!$A$1:$O$999999,7,FALSE),"")</f>
        <v>43998</v>
      </c>
      <c r="G16" s="2">
        <f>IFERROR(VLOOKUP($B16,'Raw Data by WH'!$A$1:$O$999999,8,FALSE),"")</f>
        <v>53332.58</v>
      </c>
      <c r="H16" s="7">
        <f>IFERROR(VLOOKUP($B16,'Raw Data by WH'!$A$1:$O$999999,9,FALSE),"")</f>
        <v>35</v>
      </c>
      <c r="I16" s="7">
        <f>IFERROR(VLOOKUP($B16,'Raw Data by WH'!$A$1:$O$999999,10,FALSE),"")</f>
        <v>5434</v>
      </c>
    </row>
    <row r="17" spans="1:9" x14ac:dyDescent="0.3">
      <c r="A17">
        <f t="shared" si="1"/>
        <v>8</v>
      </c>
      <c r="B17" t="str">
        <f t="shared" si="0"/>
        <v>1-8</v>
      </c>
      <c r="C17">
        <f>IFERROR(VLOOKUP($B17,'Raw Data by WH'!$A$1:$O$999999,15,FALSE),"")</f>
        <v>8</v>
      </c>
      <c r="D17" t="str">
        <f>IFERROR(VLOOKUP($B17,'Raw Data by WH'!$A$1:$O$999999,5,FALSE),"")</f>
        <v>1-1153316</v>
      </c>
      <c r="E17" t="str">
        <f>IFERROR(VLOOKUP($B17,'Raw Data by WH'!$A$1:$O$999999,6,FALSE),"")</f>
        <v>MMM</v>
      </c>
      <c r="F17" s="3">
        <f>IFERROR(VLOOKUP($B17,'Raw Data by WH'!$A$1:$O$999999,7,FALSE),"")</f>
        <v>43992</v>
      </c>
      <c r="G17" s="2">
        <f>IFERROR(VLOOKUP($B17,'Raw Data by WH'!$A$1:$O$999999,8,FALSE),"")</f>
        <v>23313.21</v>
      </c>
      <c r="H17" s="7">
        <f>IFERROR(VLOOKUP($B17,'Raw Data by WH'!$A$1:$O$999999,9,FALSE),"")</f>
        <v>46</v>
      </c>
      <c r="I17" s="7">
        <f>IFERROR(VLOOKUP($B17,'Raw Data by WH'!$A$1:$O$999999,10,FALSE),"")</f>
        <v>1078</v>
      </c>
    </row>
    <row r="18" spans="1:9" x14ac:dyDescent="0.3">
      <c r="A18">
        <f t="shared" si="1"/>
        <v>9</v>
      </c>
      <c r="B18" t="str">
        <f t="shared" si="0"/>
        <v>1-9</v>
      </c>
      <c r="C18">
        <f>IFERROR(VLOOKUP($B18,'Raw Data by WH'!$A$1:$O$999999,15,FALSE),"")</f>
        <v>9</v>
      </c>
      <c r="D18" t="str">
        <f>IFERROR(VLOOKUP($B18,'Raw Data by WH'!$A$1:$O$999999,5,FALSE),"")</f>
        <v>1-1151416</v>
      </c>
      <c r="E18" t="str">
        <f>IFERROR(VLOOKUP($B18,'Raw Data by WH'!$A$1:$O$999999,6,FALSE),"")</f>
        <v>ABS</v>
      </c>
      <c r="F18" s="3">
        <f>IFERROR(VLOOKUP($B18,'Raw Data by WH'!$A$1:$O$999999,7,FALSE),"")</f>
        <v>43998</v>
      </c>
      <c r="G18" s="2">
        <f>IFERROR(VLOOKUP($B18,'Raw Data by WH'!$A$1:$O$999999,8,FALSE),"")</f>
        <v>21970.68</v>
      </c>
      <c r="H18" s="7">
        <f>IFERROR(VLOOKUP($B18,'Raw Data by WH'!$A$1:$O$999999,9,FALSE),"")</f>
        <v>35</v>
      </c>
      <c r="I18" s="7">
        <f>IFERROR(VLOOKUP($B18,'Raw Data by WH'!$A$1:$O$999999,10,FALSE),"")</f>
        <v>1176</v>
      </c>
    </row>
    <row r="19" spans="1:9" x14ac:dyDescent="0.3">
      <c r="A19">
        <f t="shared" si="1"/>
        <v>10</v>
      </c>
      <c r="B19" t="str">
        <f t="shared" si="0"/>
        <v>1-10</v>
      </c>
      <c r="C19">
        <f>IFERROR(VLOOKUP($B19,'Raw Data by WH'!$A$1:$O$999999,15,FALSE),"")</f>
        <v>10</v>
      </c>
      <c r="D19" t="str">
        <f>IFERROR(VLOOKUP($B19,'Raw Data by WH'!$A$1:$O$999999,5,FALSE),"")</f>
        <v>1-1154228</v>
      </c>
      <c r="E19" t="str">
        <f>IFERROR(VLOOKUP($B19,'Raw Data by WH'!$A$1:$O$999999,6,FALSE),"")</f>
        <v>CPSC</v>
      </c>
      <c r="F19" s="3">
        <f>IFERROR(VLOOKUP($B19,'Raw Data by WH'!$A$1:$O$999999,7,FALSE),"")</f>
        <v>43990</v>
      </c>
      <c r="G19" s="2">
        <f>IFERROR(VLOOKUP($B19,'Raw Data by WH'!$A$1:$O$999999,8,FALSE),"")</f>
        <v>19103.68</v>
      </c>
      <c r="H19" s="7">
        <f>IFERROR(VLOOKUP($B19,'Raw Data by WH'!$A$1:$O$999999,9,FALSE),"")</f>
        <v>17</v>
      </c>
      <c r="I19" s="7">
        <f>IFERROR(VLOOKUP($B19,'Raw Data by WH'!$A$1:$O$999999,10,FALSE),"")</f>
        <v>564</v>
      </c>
    </row>
    <row r="20" spans="1:9" x14ac:dyDescent="0.3">
      <c r="A20">
        <f t="shared" si="1"/>
        <v>11</v>
      </c>
      <c r="B20" t="str">
        <f t="shared" si="0"/>
        <v>1-11</v>
      </c>
      <c r="C20">
        <f>IFERROR(VLOOKUP($B20,'Raw Data by WH'!$A$1:$O$999999,15,FALSE),"")</f>
        <v>11</v>
      </c>
      <c r="D20" t="str">
        <f>IFERROR(VLOOKUP($B20,'Raw Data by WH'!$A$1:$O$999999,5,FALSE),"")</f>
        <v>1-1153173</v>
      </c>
      <c r="E20" t="str">
        <f>IFERROR(VLOOKUP($B20,'Raw Data by WH'!$A$1:$O$999999,6,FALSE),"")</f>
        <v>USC</v>
      </c>
      <c r="F20" s="3">
        <f>IFERROR(VLOOKUP($B20,'Raw Data by WH'!$A$1:$O$999999,7,FALSE),"")</f>
        <v>43998</v>
      </c>
      <c r="G20" s="2">
        <f>IFERROR(VLOOKUP($B20,'Raw Data by WH'!$A$1:$O$999999,8,FALSE),"")</f>
        <v>82835.23</v>
      </c>
      <c r="H20" s="7">
        <f>IFERROR(VLOOKUP($B20,'Raw Data by WH'!$A$1:$O$999999,9,FALSE),"")</f>
        <v>100</v>
      </c>
      <c r="I20" s="7">
        <f>IFERROR(VLOOKUP($B20,'Raw Data by WH'!$A$1:$O$999999,10,FALSE),"")</f>
        <v>2558</v>
      </c>
    </row>
    <row r="21" spans="1:9" x14ac:dyDescent="0.3">
      <c r="A21">
        <f t="shared" si="1"/>
        <v>12</v>
      </c>
      <c r="B21" t="str">
        <f t="shared" si="0"/>
        <v>1-12</v>
      </c>
      <c r="C21">
        <f>IFERROR(VLOOKUP($B21,'Raw Data by WH'!$A$1:$O$999999,15,FALSE),"")</f>
        <v>12</v>
      </c>
      <c r="D21" t="str">
        <f>IFERROR(VLOOKUP($B21,'Raw Data by WH'!$A$1:$O$999999,5,FALSE),"")</f>
        <v>1-1135609</v>
      </c>
      <c r="E21" t="str">
        <f>IFERROR(VLOOKUP($B21,'Raw Data by WH'!$A$1:$O$999999,6,FALSE),"")</f>
        <v>MIC</v>
      </c>
      <c r="F21" s="3">
        <f>IFERROR(VLOOKUP($B21,'Raw Data by WH'!$A$1:$O$999999,7,FALSE),"")</f>
        <v>43999</v>
      </c>
      <c r="G21" s="2">
        <f>IFERROR(VLOOKUP($B21,'Raw Data by WH'!$A$1:$O$999999,8,FALSE),"")</f>
        <v>46724</v>
      </c>
      <c r="H21" s="7">
        <f>IFERROR(VLOOKUP($B21,'Raw Data by WH'!$A$1:$O$999999,9,FALSE),"")</f>
        <v>17</v>
      </c>
      <c r="I21" s="7">
        <f>IFERROR(VLOOKUP($B21,'Raw Data by WH'!$A$1:$O$999999,10,FALSE),"")</f>
        <v>6520</v>
      </c>
    </row>
    <row r="22" spans="1:9" x14ac:dyDescent="0.3">
      <c r="A22">
        <f t="shared" si="1"/>
        <v>13</v>
      </c>
      <c r="B22" t="str">
        <f t="shared" si="0"/>
        <v>1-13</v>
      </c>
      <c r="C22">
        <f>IFERROR(VLOOKUP($B22,'Raw Data by WH'!$A$1:$O$999999,15,FALSE),"")</f>
        <v>13</v>
      </c>
      <c r="D22" t="str">
        <f>IFERROR(VLOOKUP($B22,'Raw Data by WH'!$A$1:$O$999999,5,FALSE),"")</f>
        <v>1-1155468</v>
      </c>
      <c r="E22" t="str">
        <f>IFERROR(VLOOKUP($B22,'Raw Data by WH'!$A$1:$O$999999,6,FALSE),"")</f>
        <v>MMM</v>
      </c>
      <c r="F22" s="3">
        <f>IFERROR(VLOOKUP($B22,'Raw Data by WH'!$A$1:$O$999999,7,FALSE),"")</f>
        <v>43999</v>
      </c>
      <c r="G22" s="2">
        <f>IFERROR(VLOOKUP($B22,'Raw Data by WH'!$A$1:$O$999999,8,FALSE),"")</f>
        <v>20137.82</v>
      </c>
      <c r="H22" s="7">
        <f>IFERROR(VLOOKUP($B22,'Raw Data by WH'!$A$1:$O$999999,9,FALSE),"")</f>
        <v>41</v>
      </c>
      <c r="I22" s="7">
        <f>IFERROR(VLOOKUP($B22,'Raw Data by WH'!$A$1:$O$999999,10,FALSE),"")</f>
        <v>777</v>
      </c>
    </row>
    <row r="23" spans="1:9" x14ac:dyDescent="0.3">
      <c r="A23">
        <f t="shared" si="1"/>
        <v>14</v>
      </c>
      <c r="B23" t="str">
        <f t="shared" si="0"/>
        <v>1-14</v>
      </c>
      <c r="C23">
        <f>IFERROR(VLOOKUP($B23,'Raw Data by WH'!$A$1:$O$999999,15,FALSE),"")</f>
        <v>14</v>
      </c>
      <c r="D23" t="str">
        <f>IFERROR(VLOOKUP($B23,'Raw Data by WH'!$A$1:$O$999999,5,FALSE),"")</f>
        <v>1-1154936</v>
      </c>
      <c r="E23" t="str">
        <f>IFERROR(VLOOKUP($B23,'Raw Data by WH'!$A$1:$O$999999,6,FALSE),"")</f>
        <v>SEM</v>
      </c>
      <c r="F23" s="3">
        <f>IFERROR(VLOOKUP($B23,'Raw Data by WH'!$A$1:$O$999999,7,FALSE),"")</f>
        <v>43998</v>
      </c>
      <c r="G23" s="2">
        <f>IFERROR(VLOOKUP($B23,'Raw Data by WH'!$A$1:$O$999999,8,FALSE),"")</f>
        <v>19196.7</v>
      </c>
      <c r="H23" s="7">
        <f>IFERROR(VLOOKUP($B23,'Raw Data by WH'!$A$1:$O$999999,9,FALSE),"")</f>
        <v>54</v>
      </c>
      <c r="I23" s="7">
        <f>IFERROR(VLOOKUP($B23,'Raw Data by WH'!$A$1:$O$999999,10,FALSE),"")</f>
        <v>1334</v>
      </c>
    </row>
    <row r="24" spans="1:9" x14ac:dyDescent="0.3">
      <c r="A24">
        <f t="shared" si="1"/>
        <v>15</v>
      </c>
      <c r="B24" t="str">
        <f t="shared" si="0"/>
        <v>1-15</v>
      </c>
      <c r="C24">
        <f>IFERROR(VLOOKUP($B24,'Raw Data by WH'!$A$1:$O$999999,15,FALSE),"")</f>
        <v>15</v>
      </c>
      <c r="D24" t="str">
        <f>IFERROR(VLOOKUP($B24,'Raw Data by WH'!$A$1:$O$999999,5,FALSE),"")</f>
        <v>1-1154808</v>
      </c>
      <c r="E24" t="str">
        <f>IFERROR(VLOOKUP($B24,'Raw Data by WH'!$A$1:$O$999999,6,FALSE),"")</f>
        <v>IND</v>
      </c>
      <c r="F24" s="3">
        <f>IFERROR(VLOOKUP($B24,'Raw Data by WH'!$A$1:$O$999999,7,FALSE),"")</f>
        <v>43993</v>
      </c>
      <c r="G24" s="2">
        <f>IFERROR(VLOOKUP($B24,'Raw Data by WH'!$A$1:$O$999999,8,FALSE),"")</f>
        <v>9279.3799999999992</v>
      </c>
      <c r="H24" s="7">
        <f>IFERROR(VLOOKUP($B24,'Raw Data by WH'!$A$1:$O$999999,9,FALSE),"")</f>
        <v>3</v>
      </c>
      <c r="I24" s="7">
        <f>IFERROR(VLOOKUP($B24,'Raw Data by WH'!$A$1:$O$999999,10,FALSE),"")</f>
        <v>196</v>
      </c>
    </row>
    <row r="25" spans="1:9" x14ac:dyDescent="0.3">
      <c r="A25">
        <f t="shared" si="1"/>
        <v>16</v>
      </c>
      <c r="B25" t="str">
        <f t="shared" si="0"/>
        <v>1-16</v>
      </c>
      <c r="C25">
        <f>IFERROR(VLOOKUP($B25,'Raw Data by WH'!$A$1:$O$999999,15,FALSE),"")</f>
        <v>16</v>
      </c>
      <c r="D25" t="str">
        <f>IFERROR(VLOOKUP($B25,'Raw Data by WH'!$A$1:$O$999999,5,FALSE),"")</f>
        <v>1-1150448</v>
      </c>
      <c r="E25" t="str">
        <f>IFERROR(VLOOKUP($B25,'Raw Data by WH'!$A$1:$O$999999,6,FALSE),"")</f>
        <v>MMM</v>
      </c>
      <c r="F25" s="3">
        <f>IFERROR(VLOOKUP($B25,'Raw Data by WH'!$A$1:$O$999999,7,FALSE),"")</f>
        <v>43992</v>
      </c>
      <c r="G25" s="2">
        <f>IFERROR(VLOOKUP($B25,'Raw Data by WH'!$A$1:$O$999999,8,FALSE),"")</f>
        <v>16799.82</v>
      </c>
      <c r="H25" s="7">
        <f>IFERROR(VLOOKUP($B25,'Raw Data by WH'!$A$1:$O$999999,9,FALSE),"")</f>
        <v>20</v>
      </c>
      <c r="I25" s="7">
        <f>IFERROR(VLOOKUP($B25,'Raw Data by WH'!$A$1:$O$999999,10,FALSE),"")</f>
        <v>421</v>
      </c>
    </row>
    <row r="26" spans="1:9" x14ac:dyDescent="0.3">
      <c r="A26">
        <f t="shared" si="1"/>
        <v>17</v>
      </c>
      <c r="B26" t="str">
        <f t="shared" si="0"/>
        <v>1-17</v>
      </c>
      <c r="C26">
        <f>IFERROR(VLOOKUP($B26,'Raw Data by WH'!$A$1:$O$999999,15,FALSE),"")</f>
        <v>17</v>
      </c>
      <c r="D26" t="str">
        <f>IFERROR(VLOOKUP($B26,'Raw Data by WH'!$A$1:$O$999999,5,FALSE),"")</f>
        <v>1-1150397</v>
      </c>
      <c r="E26" t="str">
        <f>IFERROR(VLOOKUP($B26,'Raw Data by WH'!$A$1:$O$999999,6,FALSE),"")</f>
        <v>MMM</v>
      </c>
      <c r="F26" s="3">
        <f>IFERROR(VLOOKUP($B26,'Raw Data by WH'!$A$1:$O$999999,7,FALSE),"")</f>
        <v>43992</v>
      </c>
      <c r="G26" s="2">
        <f>IFERROR(VLOOKUP($B26,'Raw Data by WH'!$A$1:$O$999999,8,FALSE),"")</f>
        <v>19570.73</v>
      </c>
      <c r="H26" s="7">
        <f>IFERROR(VLOOKUP($B26,'Raw Data by WH'!$A$1:$O$999999,9,FALSE),"")</f>
        <v>10</v>
      </c>
      <c r="I26" s="7">
        <f>IFERROR(VLOOKUP($B26,'Raw Data by WH'!$A$1:$O$999999,10,FALSE),"")</f>
        <v>1027</v>
      </c>
    </row>
    <row r="27" spans="1:9" x14ac:dyDescent="0.3">
      <c r="A27">
        <f t="shared" si="1"/>
        <v>18</v>
      </c>
      <c r="B27" t="str">
        <f t="shared" si="0"/>
        <v>1-18</v>
      </c>
      <c r="C27">
        <f>IFERROR(VLOOKUP($B27,'Raw Data by WH'!$A$1:$O$999999,15,FALSE),"")</f>
        <v>18</v>
      </c>
      <c r="D27" t="str">
        <f>IFERROR(VLOOKUP($B27,'Raw Data by WH'!$A$1:$O$999999,5,FALSE),"")</f>
        <v>1-1153811</v>
      </c>
      <c r="E27" t="str">
        <f>IFERROR(VLOOKUP($B27,'Raw Data by WH'!$A$1:$O$999999,6,FALSE),"")</f>
        <v>HOK</v>
      </c>
      <c r="F27" s="3">
        <f>IFERROR(VLOOKUP($B27,'Raw Data by WH'!$A$1:$O$999999,7,FALSE),"")</f>
        <v>43997</v>
      </c>
      <c r="G27" s="2">
        <f>IFERROR(VLOOKUP($B27,'Raw Data by WH'!$A$1:$O$999999,8,FALSE),"")</f>
        <v>30004.55</v>
      </c>
      <c r="H27" s="7">
        <f>IFERROR(VLOOKUP($B27,'Raw Data by WH'!$A$1:$O$999999,9,FALSE),"")</f>
        <v>66</v>
      </c>
      <c r="I27" s="7">
        <f>IFERROR(VLOOKUP($B27,'Raw Data by WH'!$A$1:$O$999999,10,FALSE),"")</f>
        <v>635</v>
      </c>
    </row>
    <row r="28" spans="1:9" x14ac:dyDescent="0.3">
      <c r="A28">
        <f t="shared" si="1"/>
        <v>19</v>
      </c>
      <c r="B28" t="str">
        <f t="shared" si="0"/>
        <v>1-19</v>
      </c>
      <c r="C28">
        <f>IFERROR(VLOOKUP($B28,'Raw Data by WH'!$A$1:$O$999999,15,FALSE),"")</f>
        <v>19</v>
      </c>
      <c r="D28" t="str">
        <f>IFERROR(VLOOKUP($B28,'Raw Data by WH'!$A$1:$O$999999,5,FALSE),"")</f>
        <v>1-1151396</v>
      </c>
      <c r="E28" t="str">
        <f>IFERROR(VLOOKUP($B28,'Raw Data by WH'!$A$1:$O$999999,6,FALSE),"")</f>
        <v>UPO</v>
      </c>
      <c r="F28" s="3">
        <f>IFERROR(VLOOKUP($B28,'Raw Data by WH'!$A$1:$O$999999,7,FALSE),"")</f>
        <v>43997</v>
      </c>
      <c r="G28" s="2">
        <f>IFERROR(VLOOKUP($B28,'Raw Data by WH'!$A$1:$O$999999,8,FALSE),"")</f>
        <v>13645.95</v>
      </c>
      <c r="H28" s="7">
        <f>IFERROR(VLOOKUP($B28,'Raw Data by WH'!$A$1:$O$999999,9,FALSE),"")</f>
        <v>35</v>
      </c>
      <c r="I28" s="7">
        <f>IFERROR(VLOOKUP($B28,'Raw Data by WH'!$A$1:$O$999999,10,FALSE),"")</f>
        <v>761</v>
      </c>
    </row>
    <row r="29" spans="1:9" x14ac:dyDescent="0.3">
      <c r="A29">
        <f t="shared" si="1"/>
        <v>20</v>
      </c>
      <c r="B29" t="str">
        <f t="shared" si="0"/>
        <v>1-20</v>
      </c>
      <c r="C29">
        <f>IFERROR(VLOOKUP($B29,'Raw Data by WH'!$A$1:$O$999999,15,FALSE),"")</f>
        <v>20</v>
      </c>
      <c r="D29" t="str">
        <f>IFERROR(VLOOKUP($B29,'Raw Data by WH'!$A$1:$O$999999,5,FALSE),"")</f>
        <v>1-1134113</v>
      </c>
      <c r="E29" t="str">
        <f>IFERROR(VLOOKUP($B29,'Raw Data by WH'!$A$1:$O$999999,6,FALSE),"")</f>
        <v>MIC</v>
      </c>
      <c r="F29" s="3">
        <f>IFERROR(VLOOKUP($B29,'Raw Data by WH'!$A$1:$O$999999,7,FALSE),"")</f>
        <v>44000</v>
      </c>
      <c r="G29" s="2">
        <f>IFERROR(VLOOKUP($B29,'Raw Data by WH'!$A$1:$O$999999,8,FALSE),"")</f>
        <v>5235.3999999999996</v>
      </c>
      <c r="H29" s="7">
        <f>IFERROR(VLOOKUP($B29,'Raw Data by WH'!$A$1:$O$999999,9,FALSE),"")</f>
        <v>7</v>
      </c>
      <c r="I29" s="7">
        <f>IFERROR(VLOOKUP($B29,'Raw Data by WH'!$A$1:$O$999999,10,FALSE),"")</f>
        <v>760</v>
      </c>
    </row>
    <row r="30" spans="1:9" x14ac:dyDescent="0.3">
      <c r="A30">
        <f t="shared" si="1"/>
        <v>21</v>
      </c>
      <c r="B30" t="str">
        <f t="shared" si="0"/>
        <v>1-21</v>
      </c>
      <c r="C30">
        <f>IFERROR(VLOOKUP($B30,'Raw Data by WH'!$A$1:$O$999999,15,FALSE),"")</f>
        <v>21</v>
      </c>
      <c r="D30" t="str">
        <f>IFERROR(VLOOKUP($B30,'Raw Data by WH'!$A$1:$O$999999,5,FALSE),"")</f>
        <v>1-1149406</v>
      </c>
      <c r="E30" t="str">
        <f>IFERROR(VLOOKUP($B30,'Raw Data by WH'!$A$1:$O$999999,6,FALSE),"")</f>
        <v>MMM</v>
      </c>
      <c r="F30" s="3">
        <f>IFERROR(VLOOKUP($B30,'Raw Data by WH'!$A$1:$O$999999,7,FALSE),"")</f>
        <v>43992</v>
      </c>
      <c r="G30" s="2">
        <f>IFERROR(VLOOKUP($B30,'Raw Data by WH'!$A$1:$O$999999,8,FALSE),"")</f>
        <v>5971.76</v>
      </c>
      <c r="H30" s="7">
        <f>IFERROR(VLOOKUP($B30,'Raw Data by WH'!$A$1:$O$999999,9,FALSE),"")</f>
        <v>22</v>
      </c>
      <c r="I30" s="7">
        <f>IFERROR(VLOOKUP($B30,'Raw Data by WH'!$A$1:$O$999999,10,FALSE),"")</f>
        <v>340</v>
      </c>
    </row>
    <row r="31" spans="1:9" x14ac:dyDescent="0.3">
      <c r="A31">
        <f t="shared" si="1"/>
        <v>22</v>
      </c>
      <c r="B31" t="str">
        <f t="shared" si="0"/>
        <v>1-22</v>
      </c>
      <c r="C31">
        <f>IFERROR(VLOOKUP($B31,'Raw Data by WH'!$A$1:$O$999999,15,FALSE),"")</f>
        <v>22</v>
      </c>
      <c r="D31" t="str">
        <f>IFERROR(VLOOKUP($B31,'Raw Data by WH'!$A$1:$O$999999,5,FALSE),"")</f>
        <v>1-1157265</v>
      </c>
      <c r="E31" t="str">
        <f>IFERROR(VLOOKUP($B31,'Raw Data by WH'!$A$1:$O$999999,6,FALSE),"")</f>
        <v>LUSI</v>
      </c>
      <c r="F31" s="3">
        <f>IFERROR(VLOOKUP($B31,'Raw Data by WH'!$A$1:$O$999999,7,FALSE),"")</f>
        <v>44000</v>
      </c>
      <c r="G31" s="2">
        <f>IFERROR(VLOOKUP($B31,'Raw Data by WH'!$A$1:$O$999999,8,FALSE),"")</f>
        <v>17070.3</v>
      </c>
      <c r="H31" s="7">
        <f>IFERROR(VLOOKUP($B31,'Raw Data by WH'!$A$1:$O$999999,9,FALSE),"")</f>
        <v>25</v>
      </c>
      <c r="I31" s="7">
        <f>IFERROR(VLOOKUP($B31,'Raw Data by WH'!$A$1:$O$999999,10,FALSE),"")</f>
        <v>520</v>
      </c>
    </row>
    <row r="32" spans="1:9" x14ac:dyDescent="0.3">
      <c r="A32">
        <f t="shared" si="1"/>
        <v>23</v>
      </c>
      <c r="B32" t="str">
        <f t="shared" si="0"/>
        <v>1-23</v>
      </c>
      <c r="C32">
        <f>IFERROR(VLOOKUP($B32,'Raw Data by WH'!$A$1:$O$999999,15,FALSE),"")</f>
        <v>23</v>
      </c>
      <c r="D32" t="str">
        <f>IFERROR(VLOOKUP($B32,'Raw Data by WH'!$A$1:$O$999999,5,FALSE),"")</f>
        <v>1-1156731</v>
      </c>
      <c r="E32" t="str">
        <f>IFERROR(VLOOKUP($B32,'Raw Data by WH'!$A$1:$O$999999,6,FALSE),"")</f>
        <v>IND</v>
      </c>
      <c r="F32" s="3">
        <f>IFERROR(VLOOKUP($B32,'Raw Data by WH'!$A$1:$O$999999,7,FALSE),"")</f>
        <v>44000</v>
      </c>
      <c r="G32" s="2">
        <f>IFERROR(VLOOKUP($B32,'Raw Data by WH'!$A$1:$O$999999,8,FALSE),"")</f>
        <v>5045.3</v>
      </c>
      <c r="H32" s="7">
        <f>IFERROR(VLOOKUP($B32,'Raw Data by WH'!$A$1:$O$999999,9,FALSE),"")</f>
        <v>8</v>
      </c>
      <c r="I32" s="7">
        <f>IFERROR(VLOOKUP($B32,'Raw Data by WH'!$A$1:$O$999999,10,FALSE),"")</f>
        <v>136</v>
      </c>
    </row>
    <row r="33" spans="1:9" x14ac:dyDescent="0.3">
      <c r="A33">
        <f t="shared" si="1"/>
        <v>24</v>
      </c>
      <c r="B33" t="str">
        <f t="shared" si="0"/>
        <v>1-24</v>
      </c>
      <c r="C33">
        <f>IFERROR(VLOOKUP($B33,'Raw Data by WH'!$A$1:$O$999999,15,FALSE),"")</f>
        <v>24</v>
      </c>
      <c r="D33" t="str">
        <f>IFERROR(VLOOKUP($B33,'Raw Data by WH'!$A$1:$O$999999,5,FALSE),"")</f>
        <v>1-1155353</v>
      </c>
      <c r="E33" t="str">
        <f>IFERROR(VLOOKUP($B33,'Raw Data by WH'!$A$1:$O$999999,6,FALSE),"")</f>
        <v>FIB</v>
      </c>
      <c r="F33" s="3">
        <f>IFERROR(VLOOKUP($B33,'Raw Data by WH'!$A$1:$O$999999,7,FALSE),"")</f>
        <v>44000</v>
      </c>
      <c r="G33" s="2">
        <f>IFERROR(VLOOKUP($B33,'Raw Data by WH'!$A$1:$O$999999,8,FALSE),"")</f>
        <v>10392.950000000001</v>
      </c>
      <c r="H33" s="7">
        <f>IFERROR(VLOOKUP($B33,'Raw Data by WH'!$A$1:$O$999999,9,FALSE),"")</f>
        <v>25</v>
      </c>
      <c r="I33" s="7">
        <f>IFERROR(VLOOKUP($B33,'Raw Data by WH'!$A$1:$O$999999,10,FALSE),"")</f>
        <v>657</v>
      </c>
    </row>
    <row r="34" spans="1:9" x14ac:dyDescent="0.3">
      <c r="A34">
        <f t="shared" si="1"/>
        <v>25</v>
      </c>
      <c r="B34" t="str">
        <f t="shared" si="0"/>
        <v>1-25</v>
      </c>
      <c r="C34">
        <f>IFERROR(VLOOKUP($B34,'Raw Data by WH'!$A$1:$O$999999,15,FALSE),"")</f>
        <v>25</v>
      </c>
      <c r="D34" t="str">
        <f>IFERROR(VLOOKUP($B34,'Raw Data by WH'!$A$1:$O$999999,5,FALSE),"")</f>
        <v>1-1149954</v>
      </c>
      <c r="E34" t="str">
        <f>IFERROR(VLOOKUP($B34,'Raw Data by WH'!$A$1:$O$999999,6,FALSE),"")</f>
        <v>CPSC</v>
      </c>
      <c r="F34" s="3">
        <f>IFERROR(VLOOKUP($B34,'Raw Data by WH'!$A$1:$O$999999,7,FALSE),"")</f>
        <v>43990</v>
      </c>
      <c r="G34" s="2">
        <f>IFERROR(VLOOKUP($B34,'Raw Data by WH'!$A$1:$O$999999,8,FALSE),"")</f>
        <v>5542</v>
      </c>
      <c r="H34" s="7">
        <f>IFERROR(VLOOKUP($B34,'Raw Data by WH'!$A$1:$O$999999,9,FALSE),"")</f>
        <v>9</v>
      </c>
      <c r="I34" s="7">
        <f>IFERROR(VLOOKUP($B34,'Raw Data by WH'!$A$1:$O$999999,10,FALSE),"")</f>
        <v>278</v>
      </c>
    </row>
    <row r="35" spans="1:9" x14ac:dyDescent="0.3">
      <c r="A35">
        <f t="shared" si="1"/>
        <v>26</v>
      </c>
      <c r="B35" t="str">
        <f t="shared" si="0"/>
        <v>1-26</v>
      </c>
      <c r="C35">
        <f>IFERROR(VLOOKUP($B35,'Raw Data by WH'!$A$1:$O$999999,15,FALSE),"")</f>
        <v>26</v>
      </c>
      <c r="D35" t="str">
        <f>IFERROR(VLOOKUP($B35,'Raw Data by WH'!$A$1:$O$999999,5,FALSE),"")</f>
        <v>1-1156044</v>
      </c>
      <c r="E35" t="str">
        <f>IFERROR(VLOOKUP($B35,'Raw Data by WH'!$A$1:$O$999999,6,FALSE),"")</f>
        <v>SUA</v>
      </c>
      <c r="F35" s="3">
        <f>IFERROR(VLOOKUP($B35,'Raw Data by WH'!$A$1:$O$999999,7,FALSE),"")</f>
        <v>43999</v>
      </c>
      <c r="G35" s="2">
        <f>IFERROR(VLOOKUP($B35,'Raw Data by WH'!$A$1:$O$999999,8,FALSE),"")</f>
        <v>30671.62</v>
      </c>
      <c r="H35" s="7">
        <f>IFERROR(VLOOKUP($B35,'Raw Data by WH'!$A$1:$O$999999,9,FALSE),"")</f>
        <v>72</v>
      </c>
      <c r="I35" s="7">
        <f>IFERROR(VLOOKUP($B35,'Raw Data by WH'!$A$1:$O$999999,10,FALSE),"")</f>
        <v>1777</v>
      </c>
    </row>
    <row r="36" spans="1:9" x14ac:dyDescent="0.3">
      <c r="A36">
        <f t="shared" si="1"/>
        <v>27</v>
      </c>
      <c r="B36" t="str">
        <f t="shared" si="0"/>
        <v>1-27</v>
      </c>
      <c r="C36">
        <f>IFERROR(VLOOKUP($B36,'Raw Data by WH'!$A$1:$O$999999,15,FALSE),"")</f>
        <v>27</v>
      </c>
      <c r="D36" t="str">
        <f>IFERROR(VLOOKUP($B36,'Raw Data by WH'!$A$1:$O$999999,5,FALSE),"")</f>
        <v>1-1155465</v>
      </c>
      <c r="E36" t="str">
        <f>IFERROR(VLOOKUP($B36,'Raw Data by WH'!$A$1:$O$999999,6,FALSE),"")</f>
        <v>HOK</v>
      </c>
      <c r="F36" s="3">
        <f>IFERROR(VLOOKUP($B36,'Raw Data by WH'!$A$1:$O$999999,7,FALSE),"")</f>
        <v>43998</v>
      </c>
      <c r="G36" s="2">
        <f>IFERROR(VLOOKUP($B36,'Raw Data by WH'!$A$1:$O$999999,8,FALSE),"")</f>
        <v>34457.519999999997</v>
      </c>
      <c r="H36" s="7">
        <f>IFERROR(VLOOKUP($B36,'Raw Data by WH'!$A$1:$O$999999,9,FALSE),"")</f>
        <v>46</v>
      </c>
      <c r="I36" s="7">
        <f>IFERROR(VLOOKUP($B36,'Raw Data by WH'!$A$1:$O$999999,10,FALSE),"")</f>
        <v>750</v>
      </c>
    </row>
    <row r="37" spans="1:9" x14ac:dyDescent="0.3">
      <c r="A37">
        <f t="shared" ref="A37:A100" si="2">A36+1</f>
        <v>28</v>
      </c>
      <c r="B37" t="str">
        <f t="shared" si="0"/>
        <v>1-28</v>
      </c>
      <c r="C37">
        <f>IFERROR(VLOOKUP($B37,'Raw Data by WH'!$A$1:$O$999999,15,FALSE),"")</f>
        <v>28</v>
      </c>
      <c r="D37" t="str">
        <f>IFERROR(VLOOKUP($B37,'Raw Data by WH'!$A$1:$O$999999,5,FALSE),"")</f>
        <v>1-1154930</v>
      </c>
      <c r="E37" t="str">
        <f>IFERROR(VLOOKUP($B37,'Raw Data by WH'!$A$1:$O$999999,6,FALSE),"")</f>
        <v>NOR</v>
      </c>
      <c r="F37" s="3">
        <f>IFERROR(VLOOKUP($B37,'Raw Data by WH'!$A$1:$O$999999,7,FALSE),"")</f>
        <v>43999</v>
      </c>
      <c r="G37" s="2">
        <f>IFERROR(VLOOKUP($B37,'Raw Data by WH'!$A$1:$O$999999,8,FALSE),"")</f>
        <v>16110.32</v>
      </c>
      <c r="H37" s="7">
        <f>IFERROR(VLOOKUP($B37,'Raw Data by WH'!$A$1:$O$999999,9,FALSE),"")</f>
        <v>66</v>
      </c>
      <c r="I37" s="7">
        <f>IFERROR(VLOOKUP($B37,'Raw Data by WH'!$A$1:$O$999999,10,FALSE),"")</f>
        <v>802</v>
      </c>
    </row>
    <row r="38" spans="1:9" x14ac:dyDescent="0.3">
      <c r="A38">
        <f t="shared" si="2"/>
        <v>29</v>
      </c>
      <c r="B38" t="str">
        <f t="shared" si="0"/>
        <v>1-29</v>
      </c>
      <c r="C38">
        <f>IFERROR(VLOOKUP($B38,'Raw Data by WH'!$A$1:$O$999999,15,FALSE),"")</f>
        <v>29</v>
      </c>
      <c r="D38" t="str">
        <f>IFERROR(VLOOKUP($B38,'Raw Data by WH'!$A$1:$O$999999,5,FALSE),"")</f>
        <v>1-1151354</v>
      </c>
      <c r="E38" t="str">
        <f>IFERROR(VLOOKUP($B38,'Raw Data by WH'!$A$1:$O$999999,6,FALSE),"")</f>
        <v>MIC</v>
      </c>
      <c r="F38" s="3">
        <f>IFERROR(VLOOKUP($B38,'Raw Data by WH'!$A$1:$O$999999,7,FALSE),"")</f>
        <v>43999</v>
      </c>
      <c r="G38" s="2">
        <f>IFERROR(VLOOKUP($B38,'Raw Data by WH'!$A$1:$O$999999,8,FALSE),"")</f>
        <v>7304.8</v>
      </c>
      <c r="H38" s="7">
        <f>IFERROR(VLOOKUP($B38,'Raw Data by WH'!$A$1:$O$999999,9,FALSE),"")</f>
        <v>18</v>
      </c>
      <c r="I38" s="7">
        <f>IFERROR(VLOOKUP($B38,'Raw Data by WH'!$A$1:$O$999999,10,FALSE),"")</f>
        <v>1130</v>
      </c>
    </row>
    <row r="39" spans="1:9" x14ac:dyDescent="0.3">
      <c r="A39">
        <f t="shared" si="2"/>
        <v>30</v>
      </c>
      <c r="B39" t="str">
        <f t="shared" si="0"/>
        <v>1-30</v>
      </c>
      <c r="C39">
        <f>IFERROR(VLOOKUP($B39,'Raw Data by WH'!$A$1:$O$999999,15,FALSE),"")</f>
        <v>30</v>
      </c>
      <c r="D39" t="str">
        <f>IFERROR(VLOOKUP($B39,'Raw Data by WH'!$A$1:$O$999999,5,FALSE),"")</f>
        <v>1-1156349</v>
      </c>
      <c r="E39" t="str">
        <f>IFERROR(VLOOKUP($B39,'Raw Data by WH'!$A$1:$O$999999,6,FALSE),"")</f>
        <v>LUSI</v>
      </c>
      <c r="F39" s="3">
        <f>IFERROR(VLOOKUP($B39,'Raw Data by WH'!$A$1:$O$999999,7,FALSE),"")</f>
        <v>43998</v>
      </c>
      <c r="G39" s="2">
        <f>IFERROR(VLOOKUP($B39,'Raw Data by WH'!$A$1:$O$999999,8,FALSE),"")</f>
        <v>34144.46</v>
      </c>
      <c r="H39" s="7">
        <f>IFERROR(VLOOKUP($B39,'Raw Data by WH'!$A$1:$O$999999,9,FALSE),"")</f>
        <v>30</v>
      </c>
      <c r="I39" s="7">
        <f>IFERROR(VLOOKUP($B39,'Raw Data by WH'!$A$1:$O$999999,10,FALSE),"")</f>
        <v>867</v>
      </c>
    </row>
    <row r="40" spans="1:9" x14ac:dyDescent="0.3">
      <c r="A40">
        <f t="shared" si="2"/>
        <v>31</v>
      </c>
      <c r="B40" t="str">
        <f t="shared" si="0"/>
        <v>1-31</v>
      </c>
      <c r="C40">
        <f>IFERROR(VLOOKUP($B40,'Raw Data by WH'!$A$1:$O$999999,15,FALSE),"")</f>
        <v>31</v>
      </c>
      <c r="D40" t="str">
        <f>IFERROR(VLOOKUP($B40,'Raw Data by WH'!$A$1:$O$999999,5,FALSE),"")</f>
        <v>1-1155482</v>
      </c>
      <c r="E40" t="str">
        <f>IFERROR(VLOOKUP($B40,'Raw Data by WH'!$A$1:$O$999999,6,FALSE),"")</f>
        <v>SWP</v>
      </c>
      <c r="F40" s="3">
        <f>IFERROR(VLOOKUP($B40,'Raw Data by WH'!$A$1:$O$999999,7,FALSE),"")</f>
        <v>44000</v>
      </c>
      <c r="G40" s="2">
        <f>IFERROR(VLOOKUP($B40,'Raw Data by WH'!$A$1:$O$999999,8,FALSE),"")</f>
        <v>7939.25</v>
      </c>
      <c r="H40" s="7">
        <f>IFERROR(VLOOKUP($B40,'Raw Data by WH'!$A$1:$O$999999,9,FALSE),"")</f>
        <v>15</v>
      </c>
      <c r="I40" s="7">
        <f>IFERROR(VLOOKUP($B40,'Raw Data by WH'!$A$1:$O$999999,10,FALSE),"")</f>
        <v>281</v>
      </c>
    </row>
    <row r="41" spans="1:9" x14ac:dyDescent="0.3">
      <c r="A41">
        <f t="shared" si="2"/>
        <v>32</v>
      </c>
      <c r="B41" t="str">
        <f t="shared" si="0"/>
        <v>1-32</v>
      </c>
      <c r="C41">
        <f>IFERROR(VLOOKUP($B41,'Raw Data by WH'!$A$1:$O$999999,15,FALSE),"")</f>
        <v>32</v>
      </c>
      <c r="D41" t="str">
        <f>IFERROR(VLOOKUP($B41,'Raw Data by WH'!$A$1:$O$999999,5,FALSE),"")</f>
        <v>1-1156004</v>
      </c>
      <c r="E41" t="str">
        <f>IFERROR(VLOOKUP($B41,'Raw Data by WH'!$A$1:$O$999999,6,FALSE),"")</f>
        <v>TRM</v>
      </c>
      <c r="F41" s="3">
        <f>IFERROR(VLOOKUP($B41,'Raw Data by WH'!$A$1:$O$999999,7,FALSE),"")</f>
        <v>44000</v>
      </c>
      <c r="G41" s="2">
        <f>IFERROR(VLOOKUP($B41,'Raw Data by WH'!$A$1:$O$999999,8,FALSE),"")</f>
        <v>9068.9599999999991</v>
      </c>
      <c r="H41" s="7">
        <f>IFERROR(VLOOKUP($B41,'Raw Data by WH'!$A$1:$O$999999,9,FALSE),"")</f>
        <v>20</v>
      </c>
      <c r="I41" s="7">
        <f>IFERROR(VLOOKUP($B41,'Raw Data by WH'!$A$1:$O$999999,10,FALSE),"")</f>
        <v>660</v>
      </c>
    </row>
    <row r="42" spans="1:9" x14ac:dyDescent="0.3">
      <c r="A42">
        <f t="shared" si="2"/>
        <v>33</v>
      </c>
      <c r="B42" t="str">
        <f t="shared" si="0"/>
        <v>1-33</v>
      </c>
      <c r="C42">
        <f>IFERROR(VLOOKUP($B42,'Raw Data by WH'!$A$1:$O$999999,15,FALSE),"")</f>
        <v>33</v>
      </c>
      <c r="D42" t="str">
        <f>IFERROR(VLOOKUP($B42,'Raw Data by WH'!$A$1:$O$999999,5,FALSE),"")</f>
        <v>1-1150927</v>
      </c>
      <c r="E42" t="str">
        <f>IFERROR(VLOOKUP($B42,'Raw Data by WH'!$A$1:$O$999999,6,FALSE),"")</f>
        <v>AFC</v>
      </c>
      <c r="F42" s="3">
        <f>IFERROR(VLOOKUP($B42,'Raw Data by WH'!$A$1:$O$999999,7,FALSE),"")</f>
        <v>43994</v>
      </c>
      <c r="G42" s="2">
        <f>IFERROR(VLOOKUP($B42,'Raw Data by WH'!$A$1:$O$999999,8,FALSE),"")</f>
        <v>1553.29</v>
      </c>
      <c r="H42" s="7">
        <f>IFERROR(VLOOKUP($B42,'Raw Data by WH'!$A$1:$O$999999,9,FALSE),"")</f>
        <v>7</v>
      </c>
      <c r="I42" s="7">
        <f>IFERROR(VLOOKUP($B42,'Raw Data by WH'!$A$1:$O$999999,10,FALSE),"")</f>
        <v>28</v>
      </c>
    </row>
    <row r="43" spans="1:9" x14ac:dyDescent="0.3">
      <c r="A43">
        <f t="shared" si="2"/>
        <v>34</v>
      </c>
      <c r="B43" t="str">
        <f t="shared" si="0"/>
        <v>1-34</v>
      </c>
      <c r="C43">
        <f>IFERROR(VLOOKUP($B43,'Raw Data by WH'!$A$1:$O$999999,15,FALSE),"")</f>
        <v>34</v>
      </c>
      <c r="D43" t="str">
        <f>IFERROR(VLOOKUP($B43,'Raw Data by WH'!$A$1:$O$999999,5,FALSE),"")</f>
        <v>1-1156035</v>
      </c>
      <c r="E43" t="str">
        <f>IFERROR(VLOOKUP($B43,'Raw Data by WH'!$A$1:$O$999999,6,FALSE),"")</f>
        <v>NOR</v>
      </c>
      <c r="F43" s="3">
        <f>IFERROR(VLOOKUP($B43,'Raw Data by WH'!$A$1:$O$999999,7,FALSE),"")</f>
        <v>44000</v>
      </c>
      <c r="G43" s="2">
        <f>IFERROR(VLOOKUP($B43,'Raw Data by WH'!$A$1:$O$999999,8,FALSE),"")</f>
        <v>5267.33</v>
      </c>
      <c r="H43" s="7">
        <f>IFERROR(VLOOKUP($B43,'Raw Data by WH'!$A$1:$O$999999,9,FALSE),"")</f>
        <v>18</v>
      </c>
      <c r="I43" s="7">
        <f>IFERROR(VLOOKUP($B43,'Raw Data by WH'!$A$1:$O$999999,10,FALSE),"")</f>
        <v>160</v>
      </c>
    </row>
    <row r="44" spans="1:9" x14ac:dyDescent="0.3">
      <c r="A44">
        <f t="shared" si="2"/>
        <v>35</v>
      </c>
      <c r="B44" t="str">
        <f t="shared" si="0"/>
        <v>1-35</v>
      </c>
      <c r="C44">
        <f>IFERROR(VLOOKUP($B44,'Raw Data by WH'!$A$1:$O$999999,15,FALSE),"")</f>
        <v>35</v>
      </c>
      <c r="D44" t="str">
        <f>IFERROR(VLOOKUP($B44,'Raw Data by WH'!$A$1:$O$999999,5,FALSE),"")</f>
        <v>1-1151894</v>
      </c>
      <c r="E44" t="str">
        <f>IFERROR(VLOOKUP($B44,'Raw Data by WH'!$A$1:$O$999999,6,FALSE),"")</f>
        <v>CPSC</v>
      </c>
      <c r="F44" s="3">
        <f>IFERROR(VLOOKUP($B44,'Raw Data by WH'!$A$1:$O$999999,7,FALSE),"")</f>
        <v>43997</v>
      </c>
      <c r="G44" s="2">
        <f>IFERROR(VLOOKUP($B44,'Raw Data by WH'!$A$1:$O$999999,8,FALSE),"")</f>
        <v>1177.74</v>
      </c>
      <c r="H44" s="7">
        <f>IFERROR(VLOOKUP($B44,'Raw Data by WH'!$A$1:$O$999999,9,FALSE),"")</f>
        <v>2</v>
      </c>
      <c r="I44" s="7">
        <f>IFERROR(VLOOKUP($B44,'Raw Data by WH'!$A$1:$O$999999,10,FALSE),"")</f>
        <v>29</v>
      </c>
    </row>
    <row r="45" spans="1:9" x14ac:dyDescent="0.3">
      <c r="A45">
        <f t="shared" si="2"/>
        <v>36</v>
      </c>
      <c r="B45" t="str">
        <f t="shared" si="0"/>
        <v>1-36</v>
      </c>
      <c r="C45">
        <f>IFERROR(VLOOKUP($B45,'Raw Data by WH'!$A$1:$O$999999,15,FALSE),"")</f>
        <v>36</v>
      </c>
      <c r="D45" t="str">
        <f>IFERROR(VLOOKUP($B45,'Raw Data by WH'!$A$1:$O$999999,5,FALSE),"")</f>
        <v>1-1127434</v>
      </c>
      <c r="E45" t="str">
        <f>IFERROR(VLOOKUP($B45,'Raw Data by WH'!$A$1:$O$999999,6,FALSE),"")</f>
        <v>SAS</v>
      </c>
      <c r="F45" s="3">
        <f>IFERROR(VLOOKUP($B45,'Raw Data by WH'!$A$1:$O$999999,7,FALSE),"")</f>
        <v>43999</v>
      </c>
      <c r="G45" s="2">
        <f>IFERROR(VLOOKUP($B45,'Raw Data by WH'!$A$1:$O$999999,8,FALSE),"")</f>
        <v>752.12</v>
      </c>
      <c r="H45" s="7">
        <f>IFERROR(VLOOKUP($B45,'Raw Data by WH'!$A$1:$O$999999,9,FALSE),"")</f>
        <v>5</v>
      </c>
      <c r="I45" s="7">
        <f>IFERROR(VLOOKUP($B45,'Raw Data by WH'!$A$1:$O$999999,10,FALSE),"")</f>
        <v>96</v>
      </c>
    </row>
    <row r="46" spans="1:9" x14ac:dyDescent="0.3">
      <c r="A46">
        <f t="shared" si="2"/>
        <v>37</v>
      </c>
      <c r="B46" t="str">
        <f t="shared" si="0"/>
        <v>1-37</v>
      </c>
      <c r="C46">
        <f>IFERROR(VLOOKUP($B46,'Raw Data by WH'!$A$1:$O$999999,15,FALSE),"")</f>
        <v>37</v>
      </c>
      <c r="D46" t="str">
        <f>IFERROR(VLOOKUP($B46,'Raw Data by WH'!$A$1:$O$999999,5,FALSE),"")</f>
        <v>1-1127432</v>
      </c>
      <c r="E46" t="str">
        <f>IFERROR(VLOOKUP($B46,'Raw Data by WH'!$A$1:$O$999999,6,FALSE),"")</f>
        <v>MIC</v>
      </c>
      <c r="F46" s="3">
        <f>IFERROR(VLOOKUP($B46,'Raw Data by WH'!$A$1:$O$999999,7,FALSE),"")</f>
        <v>44000</v>
      </c>
      <c r="G46" s="2">
        <f>IFERROR(VLOOKUP($B46,'Raw Data by WH'!$A$1:$O$999999,8,FALSE),"")</f>
        <v>677</v>
      </c>
      <c r="H46" s="7">
        <f>IFERROR(VLOOKUP($B46,'Raw Data by WH'!$A$1:$O$999999,9,FALSE),"")</f>
        <v>2</v>
      </c>
      <c r="I46" s="7">
        <f>IFERROR(VLOOKUP($B46,'Raw Data by WH'!$A$1:$O$999999,10,FALSE),"")</f>
        <v>100</v>
      </c>
    </row>
    <row r="47" spans="1:9" x14ac:dyDescent="0.3">
      <c r="A47">
        <f t="shared" si="2"/>
        <v>38</v>
      </c>
      <c r="B47" t="str">
        <f t="shared" si="0"/>
        <v>1-38</v>
      </c>
      <c r="C47">
        <f>IFERROR(VLOOKUP($B47,'Raw Data by WH'!$A$1:$O$999999,15,FALSE),"")</f>
        <v>38</v>
      </c>
      <c r="D47" t="str">
        <f>IFERROR(VLOOKUP($B47,'Raw Data by WH'!$A$1:$O$999999,5,FALSE),"")</f>
        <v>1-1121017</v>
      </c>
      <c r="E47" t="str">
        <f>IFERROR(VLOOKUP($B47,'Raw Data by WH'!$A$1:$O$999999,6,FALSE),"")</f>
        <v>MIC</v>
      </c>
      <c r="F47" s="3">
        <f>IFERROR(VLOOKUP($B47,'Raw Data by WH'!$A$1:$O$999999,7,FALSE),"")</f>
        <v>44000</v>
      </c>
      <c r="G47" s="2">
        <f>IFERROR(VLOOKUP($B47,'Raw Data by WH'!$A$1:$O$999999,8,FALSE),"")</f>
        <v>406.2</v>
      </c>
      <c r="H47" s="7">
        <f>IFERROR(VLOOKUP($B47,'Raw Data by WH'!$A$1:$O$999999,9,FALSE),"")</f>
        <v>1</v>
      </c>
      <c r="I47" s="7">
        <f>IFERROR(VLOOKUP($B47,'Raw Data by WH'!$A$1:$O$999999,10,FALSE),"")</f>
        <v>60</v>
      </c>
    </row>
    <row r="48" spans="1:9" x14ac:dyDescent="0.3">
      <c r="A48">
        <f t="shared" si="2"/>
        <v>39</v>
      </c>
      <c r="B48" t="str">
        <f t="shared" si="0"/>
        <v>1-39</v>
      </c>
      <c r="C48">
        <f>IFERROR(VLOOKUP($B48,'Raw Data by WH'!$A$1:$O$999999,15,FALSE),"")</f>
        <v>39</v>
      </c>
      <c r="D48" t="str">
        <f>IFERROR(VLOOKUP($B48,'Raw Data by WH'!$A$1:$O$999999,5,FALSE),"")</f>
        <v>1-1155447</v>
      </c>
      <c r="E48" t="str">
        <f>IFERROR(VLOOKUP($B48,'Raw Data by WH'!$A$1:$O$999999,6,FALSE),"")</f>
        <v>LKE</v>
      </c>
      <c r="F48" s="3">
        <f>IFERROR(VLOOKUP($B48,'Raw Data by WH'!$A$1:$O$999999,7,FALSE),"")</f>
        <v>43993</v>
      </c>
      <c r="G48" s="2">
        <f>IFERROR(VLOOKUP($B48,'Raw Data by WH'!$A$1:$O$999999,8,FALSE),"")</f>
        <v>4032.49</v>
      </c>
      <c r="H48" s="7">
        <f>IFERROR(VLOOKUP($B48,'Raw Data by WH'!$A$1:$O$999999,9,FALSE),"")</f>
        <v>8</v>
      </c>
      <c r="I48" s="7">
        <f>IFERROR(VLOOKUP($B48,'Raw Data by WH'!$A$1:$O$999999,10,FALSE),"")</f>
        <v>53</v>
      </c>
    </row>
    <row r="49" spans="1:9" x14ac:dyDescent="0.3">
      <c r="A49">
        <f t="shared" si="2"/>
        <v>40</v>
      </c>
      <c r="B49" t="str">
        <f t="shared" si="0"/>
        <v>1-40</v>
      </c>
      <c r="C49">
        <f>IFERROR(VLOOKUP($B49,'Raw Data by WH'!$A$1:$O$999999,15,FALSE),"")</f>
        <v>40</v>
      </c>
      <c r="D49" t="str">
        <f>IFERROR(VLOOKUP($B49,'Raw Data by WH'!$A$1:$O$999999,5,FALSE),"")</f>
        <v>1-1156390</v>
      </c>
      <c r="E49" t="str">
        <f>IFERROR(VLOOKUP($B49,'Raw Data by WH'!$A$1:$O$999999,6,FALSE),"")</f>
        <v>KRY</v>
      </c>
      <c r="F49" s="3">
        <f>IFERROR(VLOOKUP($B49,'Raw Data by WH'!$A$1:$O$999999,7,FALSE),"")</f>
        <v>43999</v>
      </c>
      <c r="G49" s="2">
        <f>IFERROR(VLOOKUP($B49,'Raw Data by WH'!$A$1:$O$999999,8,FALSE),"")</f>
        <v>8525.34</v>
      </c>
      <c r="H49" s="7">
        <f>IFERROR(VLOOKUP($B49,'Raw Data by WH'!$A$1:$O$999999,9,FALSE),"")</f>
        <v>11</v>
      </c>
      <c r="I49" s="7">
        <f>IFERROR(VLOOKUP($B49,'Raw Data by WH'!$A$1:$O$999999,10,FALSE),"")</f>
        <v>4476</v>
      </c>
    </row>
    <row r="50" spans="1:9" x14ac:dyDescent="0.3">
      <c r="A50">
        <f t="shared" si="2"/>
        <v>41</v>
      </c>
      <c r="B50" t="str">
        <f t="shared" si="0"/>
        <v>1-41</v>
      </c>
      <c r="C50">
        <f>IFERROR(VLOOKUP($B50,'Raw Data by WH'!$A$1:$O$999999,15,FALSE),"")</f>
        <v>41</v>
      </c>
      <c r="D50" t="str">
        <f>IFERROR(VLOOKUP($B50,'Raw Data by WH'!$A$1:$O$999999,5,FALSE),"")</f>
        <v>1-1156716</v>
      </c>
      <c r="E50" t="str">
        <f>IFERROR(VLOOKUP($B50,'Raw Data by WH'!$A$1:$O$999999,6,FALSE),"")</f>
        <v>SWP</v>
      </c>
      <c r="F50" s="3">
        <f>IFERROR(VLOOKUP($B50,'Raw Data by WH'!$A$1:$O$999999,7,FALSE),"")</f>
        <v>44000</v>
      </c>
      <c r="G50" s="2">
        <f>IFERROR(VLOOKUP($B50,'Raw Data by WH'!$A$1:$O$999999,8,FALSE),"")</f>
        <v>2142.36</v>
      </c>
      <c r="H50" s="7">
        <f>IFERROR(VLOOKUP($B50,'Raw Data by WH'!$A$1:$O$999999,9,FALSE),"")</f>
        <v>7</v>
      </c>
      <c r="I50" s="7">
        <f>IFERROR(VLOOKUP($B50,'Raw Data by WH'!$A$1:$O$999999,10,FALSE),"")</f>
        <v>115</v>
      </c>
    </row>
    <row r="51" spans="1:9" x14ac:dyDescent="0.3">
      <c r="A51">
        <f t="shared" si="2"/>
        <v>42</v>
      </c>
      <c r="B51" t="str">
        <f t="shared" si="0"/>
        <v>1-42</v>
      </c>
      <c r="C51">
        <f>IFERROR(VLOOKUP($B51,'Raw Data by WH'!$A$1:$O$999999,15,FALSE),"")</f>
        <v>42</v>
      </c>
      <c r="D51" t="str">
        <f>IFERROR(VLOOKUP($B51,'Raw Data by WH'!$A$1:$O$999999,5,FALSE),"")</f>
        <v>1-1154334</v>
      </c>
      <c r="E51" t="str">
        <f>IFERROR(VLOOKUP($B51,'Raw Data by WH'!$A$1:$O$999999,6,FALSE),"")</f>
        <v>KRY</v>
      </c>
      <c r="F51" s="3">
        <f>IFERROR(VLOOKUP($B51,'Raw Data by WH'!$A$1:$O$999999,7,FALSE),"")</f>
        <v>43993</v>
      </c>
      <c r="G51" s="2">
        <f>IFERROR(VLOOKUP($B51,'Raw Data by WH'!$A$1:$O$999999,8,FALSE),"")</f>
        <v>8183.82</v>
      </c>
      <c r="H51" s="7">
        <f>IFERROR(VLOOKUP($B51,'Raw Data by WH'!$A$1:$O$999999,9,FALSE),"")</f>
        <v>20</v>
      </c>
      <c r="I51" s="7">
        <f>IFERROR(VLOOKUP($B51,'Raw Data by WH'!$A$1:$O$999999,10,FALSE),"")</f>
        <v>3858</v>
      </c>
    </row>
    <row r="52" spans="1:9" x14ac:dyDescent="0.3">
      <c r="A52">
        <f t="shared" si="2"/>
        <v>43</v>
      </c>
      <c r="B52" t="str">
        <f t="shared" si="0"/>
        <v>1-43</v>
      </c>
      <c r="C52">
        <f>IFERROR(VLOOKUP($B52,'Raw Data by WH'!$A$1:$O$999999,15,FALSE),"")</f>
        <v>43</v>
      </c>
      <c r="D52" t="str">
        <f>IFERROR(VLOOKUP($B52,'Raw Data by WH'!$A$1:$O$999999,5,FALSE),"")</f>
        <v>1-1152294</v>
      </c>
      <c r="E52" t="str">
        <f>IFERROR(VLOOKUP($B52,'Raw Data by WH'!$A$1:$O$999999,6,FALSE),"")</f>
        <v>STO</v>
      </c>
      <c r="F52" s="3">
        <f>IFERROR(VLOOKUP($B52,'Raw Data by WH'!$A$1:$O$999999,7,FALSE),"")</f>
        <v>43990</v>
      </c>
      <c r="G52" s="2">
        <f>IFERROR(VLOOKUP($B52,'Raw Data by WH'!$A$1:$O$999999,8,FALSE),"")</f>
        <v>854.16</v>
      </c>
      <c r="H52" s="7">
        <f>IFERROR(VLOOKUP($B52,'Raw Data by WH'!$A$1:$O$999999,9,FALSE),"")</f>
        <v>4</v>
      </c>
      <c r="I52" s="7">
        <f>IFERROR(VLOOKUP($B52,'Raw Data by WH'!$A$1:$O$999999,10,FALSE),"")</f>
        <v>66</v>
      </c>
    </row>
    <row r="53" spans="1:9" x14ac:dyDescent="0.3">
      <c r="A53">
        <f t="shared" si="2"/>
        <v>44</v>
      </c>
      <c r="B53" t="str">
        <f t="shared" si="0"/>
        <v>1-44</v>
      </c>
      <c r="C53">
        <f>IFERROR(VLOOKUP($B53,'Raw Data by WH'!$A$1:$O$999999,15,FALSE),"")</f>
        <v>44</v>
      </c>
      <c r="D53" t="str">
        <f>IFERROR(VLOOKUP($B53,'Raw Data by WH'!$A$1:$O$999999,5,FALSE),"")</f>
        <v>1-1154925</v>
      </c>
      <c r="E53" t="str">
        <f>IFERROR(VLOOKUP($B53,'Raw Data by WH'!$A$1:$O$999999,6,FALSE),"")</f>
        <v>KRY</v>
      </c>
      <c r="F53" s="3">
        <f>IFERROR(VLOOKUP($B53,'Raw Data by WH'!$A$1:$O$999999,7,FALSE),"")</f>
        <v>43997</v>
      </c>
      <c r="G53" s="2">
        <f>IFERROR(VLOOKUP($B53,'Raw Data by WH'!$A$1:$O$999999,8,FALSE),"")</f>
        <v>12207.96</v>
      </c>
      <c r="H53" s="7">
        <f>IFERROR(VLOOKUP($B53,'Raw Data by WH'!$A$1:$O$999999,9,FALSE),"")</f>
        <v>4</v>
      </c>
      <c r="I53" s="7">
        <f>IFERROR(VLOOKUP($B53,'Raw Data by WH'!$A$1:$O$999999,10,FALSE),"")</f>
        <v>6504</v>
      </c>
    </row>
    <row r="54" spans="1:9" x14ac:dyDescent="0.3">
      <c r="A54">
        <f t="shared" si="2"/>
        <v>45</v>
      </c>
      <c r="B54" t="str">
        <f t="shared" si="0"/>
        <v>1-45</v>
      </c>
      <c r="C54">
        <f>IFERROR(VLOOKUP($B54,'Raw Data by WH'!$A$1:$O$999999,15,FALSE),"")</f>
        <v>45</v>
      </c>
      <c r="D54" t="str">
        <f>IFERROR(VLOOKUP($B54,'Raw Data by WH'!$A$1:$O$999999,5,FALSE),"")</f>
        <v>1-1151798</v>
      </c>
      <c r="E54" t="str">
        <f>IFERROR(VLOOKUP($B54,'Raw Data by WH'!$A$1:$O$999999,6,FALSE),"")</f>
        <v>LUSI</v>
      </c>
      <c r="F54" s="3">
        <f>IFERROR(VLOOKUP($B54,'Raw Data by WH'!$A$1:$O$999999,7,FALSE),"")</f>
        <v>43994</v>
      </c>
      <c r="G54" s="2">
        <f>IFERROR(VLOOKUP($B54,'Raw Data by WH'!$A$1:$O$999999,8,FALSE),"")</f>
        <v>192.88</v>
      </c>
      <c r="H54" s="7">
        <f>IFERROR(VLOOKUP($B54,'Raw Data by WH'!$A$1:$O$999999,9,FALSE),"")</f>
        <v>2</v>
      </c>
      <c r="I54" s="7">
        <f>IFERROR(VLOOKUP($B54,'Raw Data by WH'!$A$1:$O$999999,10,FALSE),"")</f>
        <v>8</v>
      </c>
    </row>
    <row r="55" spans="1:9" x14ac:dyDescent="0.3">
      <c r="A55">
        <f t="shared" si="2"/>
        <v>46</v>
      </c>
      <c r="B55" t="str">
        <f t="shared" si="0"/>
        <v>1-46</v>
      </c>
      <c r="C55" t="str">
        <f>IFERROR(VLOOKUP($B55,'Raw Data by WH'!$A$1:$O$999999,15,FALSE),"")</f>
        <v/>
      </c>
      <c r="D55" t="str">
        <f>IFERROR(VLOOKUP($B55,'Raw Data by WH'!$A$1:$O$999999,5,FALSE),"")</f>
        <v/>
      </c>
      <c r="E55" t="str">
        <f>IFERROR(VLOOKUP($B55,'Raw Data by WH'!$A$1:$O$999999,6,FALSE),"")</f>
        <v/>
      </c>
      <c r="F55" s="3" t="str">
        <f>IFERROR(VLOOKUP($B55,'Raw Data by WH'!$A$1:$O$999999,7,FALSE),"")</f>
        <v/>
      </c>
      <c r="G55" s="2" t="str">
        <f>IFERROR(VLOOKUP($B55,'Raw Data by WH'!$A$1:$O$999999,8,FALSE),"")</f>
        <v/>
      </c>
      <c r="H55" s="7" t="str">
        <f>IFERROR(VLOOKUP($B55,'Raw Data by WH'!$A$1:$O$999999,9,FALSE),"")</f>
        <v/>
      </c>
      <c r="I55" s="7" t="str">
        <f>IFERROR(VLOOKUP($B55,'Raw Data by WH'!$A$1:$O$999999,10,FALSE),"")</f>
        <v/>
      </c>
    </row>
    <row r="56" spans="1:9" x14ac:dyDescent="0.3">
      <c r="A56">
        <f t="shared" si="2"/>
        <v>47</v>
      </c>
      <c r="B56" t="str">
        <f t="shared" si="0"/>
        <v>1-47</v>
      </c>
      <c r="C56" t="str">
        <f>IFERROR(VLOOKUP($B56,'Raw Data by WH'!$A$1:$O$999999,15,FALSE),"")</f>
        <v/>
      </c>
      <c r="D56" t="str">
        <f>IFERROR(VLOOKUP($B56,'Raw Data by WH'!$A$1:$O$999999,5,FALSE),"")</f>
        <v/>
      </c>
      <c r="E56" t="str">
        <f>IFERROR(VLOOKUP($B56,'Raw Data by WH'!$A$1:$O$999999,6,FALSE),"")</f>
        <v/>
      </c>
      <c r="F56" s="3" t="str">
        <f>IFERROR(VLOOKUP($B56,'Raw Data by WH'!$A$1:$O$999999,7,FALSE),"")</f>
        <v/>
      </c>
      <c r="G56" s="2" t="str">
        <f>IFERROR(VLOOKUP($B56,'Raw Data by WH'!$A$1:$O$999999,8,FALSE),"")</f>
        <v/>
      </c>
      <c r="H56" s="7" t="str">
        <f>IFERROR(VLOOKUP($B56,'Raw Data by WH'!$A$1:$O$999999,9,FALSE),"")</f>
        <v/>
      </c>
      <c r="I56" s="7" t="str">
        <f>IFERROR(VLOOKUP($B56,'Raw Data by WH'!$A$1:$O$999999,10,FALSE),"")</f>
        <v/>
      </c>
    </row>
    <row r="57" spans="1:9" x14ac:dyDescent="0.3">
      <c r="A57">
        <f t="shared" si="2"/>
        <v>48</v>
      </c>
      <c r="B57" t="str">
        <f t="shared" si="0"/>
        <v>1-48</v>
      </c>
      <c r="C57" t="str">
        <f>IFERROR(VLOOKUP($B57,'Raw Data by WH'!$A$1:$O$999999,15,FALSE),"")</f>
        <v/>
      </c>
      <c r="D57" t="str">
        <f>IFERROR(VLOOKUP($B57,'Raw Data by WH'!$A$1:$O$999999,5,FALSE),"")</f>
        <v/>
      </c>
      <c r="E57" t="str">
        <f>IFERROR(VLOOKUP($B57,'Raw Data by WH'!$A$1:$O$999999,6,FALSE),"")</f>
        <v/>
      </c>
      <c r="F57" s="3" t="str">
        <f>IFERROR(VLOOKUP($B57,'Raw Data by WH'!$A$1:$O$999999,7,FALSE),"")</f>
        <v/>
      </c>
      <c r="G57" s="2" t="str">
        <f>IFERROR(VLOOKUP($B57,'Raw Data by WH'!$A$1:$O$999999,8,FALSE),"")</f>
        <v/>
      </c>
      <c r="H57" s="7" t="str">
        <f>IFERROR(VLOOKUP($B57,'Raw Data by WH'!$A$1:$O$999999,9,FALSE),"")</f>
        <v/>
      </c>
      <c r="I57" s="7" t="str">
        <f>IFERROR(VLOOKUP($B57,'Raw Data by WH'!$A$1:$O$999999,10,FALSE),"")</f>
        <v/>
      </c>
    </row>
    <row r="58" spans="1:9" x14ac:dyDescent="0.3">
      <c r="A58">
        <f t="shared" si="2"/>
        <v>49</v>
      </c>
      <c r="B58" t="str">
        <f t="shared" si="0"/>
        <v>1-49</v>
      </c>
      <c r="C58" t="str">
        <f>IFERROR(VLOOKUP($B58,'Raw Data by WH'!$A$1:$O$999999,15,FALSE),"")</f>
        <v/>
      </c>
      <c r="D58" t="str">
        <f>IFERROR(VLOOKUP($B58,'Raw Data by WH'!$A$1:$O$999999,5,FALSE),"")</f>
        <v/>
      </c>
      <c r="E58" t="str">
        <f>IFERROR(VLOOKUP($B58,'Raw Data by WH'!$A$1:$O$999999,6,FALSE),"")</f>
        <v/>
      </c>
      <c r="F58" s="3" t="str">
        <f>IFERROR(VLOOKUP($B58,'Raw Data by WH'!$A$1:$O$999999,7,FALSE),"")</f>
        <v/>
      </c>
      <c r="G58" s="2" t="str">
        <f>IFERROR(VLOOKUP($B58,'Raw Data by WH'!$A$1:$O$999999,8,FALSE),"")</f>
        <v/>
      </c>
      <c r="H58" s="7" t="str">
        <f>IFERROR(VLOOKUP($B58,'Raw Data by WH'!$A$1:$O$999999,9,FALSE),"")</f>
        <v/>
      </c>
      <c r="I58" s="7" t="str">
        <f>IFERROR(VLOOKUP($B58,'Raw Data by WH'!$A$1:$O$999999,10,FALSE),"")</f>
        <v/>
      </c>
    </row>
    <row r="59" spans="1:9" x14ac:dyDescent="0.3">
      <c r="A59">
        <f t="shared" si="2"/>
        <v>50</v>
      </c>
      <c r="B59" t="str">
        <f t="shared" si="0"/>
        <v>1-50</v>
      </c>
      <c r="C59" t="str">
        <f>IFERROR(VLOOKUP($B59,'Raw Data by WH'!$A$1:$O$999999,15,FALSE),"")</f>
        <v/>
      </c>
      <c r="D59" t="str">
        <f>IFERROR(VLOOKUP($B59,'Raw Data by WH'!$A$1:$O$999999,5,FALSE),"")</f>
        <v/>
      </c>
      <c r="E59" t="str">
        <f>IFERROR(VLOOKUP($B59,'Raw Data by WH'!$A$1:$O$999999,6,FALSE),"")</f>
        <v/>
      </c>
      <c r="F59" s="3" t="str">
        <f>IFERROR(VLOOKUP($B59,'Raw Data by WH'!$A$1:$O$999999,7,FALSE),"")</f>
        <v/>
      </c>
      <c r="G59" s="2" t="str">
        <f>IFERROR(VLOOKUP($B59,'Raw Data by WH'!$A$1:$O$999999,8,FALSE),"")</f>
        <v/>
      </c>
      <c r="H59" s="7" t="str">
        <f>IFERROR(VLOOKUP($B59,'Raw Data by WH'!$A$1:$O$999999,9,FALSE),"")</f>
        <v/>
      </c>
      <c r="I59" s="7" t="str">
        <f>IFERROR(VLOOKUP($B59,'Raw Data by WH'!$A$1:$O$999999,10,FALSE),"")</f>
        <v/>
      </c>
    </row>
    <row r="60" spans="1:9" x14ac:dyDescent="0.3">
      <c r="A60">
        <f t="shared" si="2"/>
        <v>51</v>
      </c>
      <c r="B60" t="str">
        <f t="shared" si="0"/>
        <v>1-51</v>
      </c>
      <c r="C60" t="str">
        <f>IFERROR(VLOOKUP($B60,'Raw Data by WH'!$A$1:$O$999999,15,FALSE),"")</f>
        <v/>
      </c>
      <c r="D60" t="str">
        <f>IFERROR(VLOOKUP($B60,'Raw Data by WH'!$A$1:$O$999999,5,FALSE),"")</f>
        <v/>
      </c>
      <c r="E60" t="str">
        <f>IFERROR(VLOOKUP($B60,'Raw Data by WH'!$A$1:$O$999999,6,FALSE),"")</f>
        <v/>
      </c>
      <c r="F60" s="3" t="str">
        <f>IFERROR(VLOOKUP($B60,'Raw Data by WH'!$A$1:$O$999999,7,FALSE),"")</f>
        <v/>
      </c>
      <c r="G60" s="2" t="str">
        <f>IFERROR(VLOOKUP($B60,'Raw Data by WH'!$A$1:$O$999999,8,FALSE),"")</f>
        <v/>
      </c>
      <c r="H60" s="7" t="str">
        <f>IFERROR(VLOOKUP($B60,'Raw Data by WH'!$A$1:$O$999999,9,FALSE),"")</f>
        <v/>
      </c>
      <c r="I60" s="7" t="str">
        <f>IFERROR(VLOOKUP($B60,'Raw Data by WH'!$A$1:$O$999999,10,FALSE),"")</f>
        <v/>
      </c>
    </row>
    <row r="61" spans="1:9" x14ac:dyDescent="0.3">
      <c r="A61">
        <f t="shared" si="2"/>
        <v>52</v>
      </c>
      <c r="B61" t="str">
        <f t="shared" si="0"/>
        <v>1-52</v>
      </c>
      <c r="C61" t="str">
        <f>IFERROR(VLOOKUP($B61,'Raw Data by WH'!$A$1:$O$999999,15,FALSE),"")</f>
        <v/>
      </c>
      <c r="D61" t="str">
        <f>IFERROR(VLOOKUP($B61,'Raw Data by WH'!$A$1:$O$999999,5,FALSE),"")</f>
        <v/>
      </c>
      <c r="E61" t="str">
        <f>IFERROR(VLOOKUP($B61,'Raw Data by WH'!$A$1:$O$999999,6,FALSE),"")</f>
        <v/>
      </c>
      <c r="F61" s="3" t="str">
        <f>IFERROR(VLOOKUP($B61,'Raw Data by WH'!$A$1:$O$999999,7,FALSE),"")</f>
        <v/>
      </c>
      <c r="G61" s="2" t="str">
        <f>IFERROR(VLOOKUP($B61,'Raw Data by WH'!$A$1:$O$999999,8,FALSE),"")</f>
        <v/>
      </c>
      <c r="H61" s="7" t="str">
        <f>IFERROR(VLOOKUP($B61,'Raw Data by WH'!$A$1:$O$999999,9,FALSE),"")</f>
        <v/>
      </c>
      <c r="I61" s="7" t="str">
        <f>IFERROR(VLOOKUP($B61,'Raw Data by WH'!$A$1:$O$999999,10,FALSE),"")</f>
        <v/>
      </c>
    </row>
    <row r="62" spans="1:9" x14ac:dyDescent="0.3">
      <c r="A62">
        <f t="shared" si="2"/>
        <v>53</v>
      </c>
      <c r="B62" t="str">
        <f t="shared" si="0"/>
        <v>1-53</v>
      </c>
      <c r="C62" t="str">
        <f>IFERROR(VLOOKUP($B62,'Raw Data by WH'!$A$1:$O$999999,15,FALSE),"")</f>
        <v/>
      </c>
      <c r="D62" t="str">
        <f>IFERROR(VLOOKUP($B62,'Raw Data by WH'!$A$1:$O$999999,5,FALSE),"")</f>
        <v/>
      </c>
      <c r="E62" t="str">
        <f>IFERROR(VLOOKUP($B62,'Raw Data by WH'!$A$1:$O$999999,6,FALSE),"")</f>
        <v/>
      </c>
      <c r="F62" s="3" t="str">
        <f>IFERROR(VLOOKUP($B62,'Raw Data by WH'!$A$1:$O$999999,7,FALSE),"")</f>
        <v/>
      </c>
      <c r="G62" s="2" t="str">
        <f>IFERROR(VLOOKUP($B62,'Raw Data by WH'!$A$1:$O$999999,8,FALSE),"")</f>
        <v/>
      </c>
      <c r="H62" s="7" t="str">
        <f>IFERROR(VLOOKUP($B62,'Raw Data by WH'!$A$1:$O$999999,9,FALSE),"")</f>
        <v/>
      </c>
      <c r="I62" s="7" t="str">
        <f>IFERROR(VLOOKUP($B62,'Raw Data by WH'!$A$1:$O$999999,10,FALSE),"")</f>
        <v/>
      </c>
    </row>
    <row r="63" spans="1:9" x14ac:dyDescent="0.3">
      <c r="A63">
        <f t="shared" si="2"/>
        <v>54</v>
      </c>
      <c r="B63" t="str">
        <f t="shared" si="0"/>
        <v>1-54</v>
      </c>
      <c r="C63" t="str">
        <f>IFERROR(VLOOKUP($B63,'Raw Data by WH'!$A$1:$O$999999,15,FALSE),"")</f>
        <v/>
      </c>
      <c r="D63" t="str">
        <f>IFERROR(VLOOKUP($B63,'Raw Data by WH'!$A$1:$O$999999,5,FALSE),"")</f>
        <v/>
      </c>
      <c r="E63" t="str">
        <f>IFERROR(VLOOKUP($B63,'Raw Data by WH'!$A$1:$O$999999,6,FALSE),"")</f>
        <v/>
      </c>
      <c r="F63" s="3" t="str">
        <f>IFERROR(VLOOKUP($B63,'Raw Data by WH'!$A$1:$O$999999,7,FALSE),"")</f>
        <v/>
      </c>
      <c r="G63" s="2" t="str">
        <f>IFERROR(VLOOKUP($B63,'Raw Data by WH'!$A$1:$O$999999,8,FALSE),"")</f>
        <v/>
      </c>
      <c r="H63" s="7" t="str">
        <f>IFERROR(VLOOKUP($B63,'Raw Data by WH'!$A$1:$O$999999,9,FALSE),"")</f>
        <v/>
      </c>
      <c r="I63" s="7" t="str">
        <f>IFERROR(VLOOKUP($B63,'Raw Data by WH'!$A$1:$O$999999,10,FALSE),"")</f>
        <v/>
      </c>
    </row>
    <row r="64" spans="1:9" x14ac:dyDescent="0.3">
      <c r="A64">
        <f t="shared" si="2"/>
        <v>55</v>
      </c>
      <c r="B64" t="str">
        <f t="shared" ref="B64:B118" si="3">$D$1&amp;"-"&amp;A64</f>
        <v>1-55</v>
      </c>
      <c r="C64" t="str">
        <f>IFERROR(VLOOKUP($B64,'Raw Data by WH'!$A$1:$O$999999,15,FALSE),"")</f>
        <v/>
      </c>
      <c r="D64" t="str">
        <f>IFERROR(VLOOKUP($B64,'Raw Data by WH'!$A$1:$O$999999,5,FALSE),"")</f>
        <v/>
      </c>
      <c r="E64" t="str">
        <f>IFERROR(VLOOKUP($B64,'Raw Data by WH'!$A$1:$O$999999,6,FALSE),"")</f>
        <v/>
      </c>
      <c r="F64" s="3" t="str">
        <f>IFERROR(VLOOKUP($B64,'Raw Data by WH'!$A$1:$O$999999,7,FALSE),"")</f>
        <v/>
      </c>
      <c r="G64" s="2" t="str">
        <f>IFERROR(VLOOKUP($B64,'Raw Data by WH'!$A$1:$O$999999,8,FALSE),"")</f>
        <v/>
      </c>
      <c r="H64" s="7" t="str">
        <f>IFERROR(VLOOKUP($B64,'Raw Data by WH'!$A$1:$O$999999,9,FALSE),"")</f>
        <v/>
      </c>
      <c r="I64" s="7" t="str">
        <f>IFERROR(VLOOKUP($B64,'Raw Data by WH'!$A$1:$O$999999,10,FALSE),"")</f>
        <v/>
      </c>
    </row>
    <row r="65" spans="1:9" x14ac:dyDescent="0.3">
      <c r="A65">
        <f t="shared" si="2"/>
        <v>56</v>
      </c>
      <c r="B65" t="str">
        <f t="shared" si="3"/>
        <v>1-56</v>
      </c>
      <c r="C65" t="str">
        <f>IFERROR(VLOOKUP($B65,'Raw Data by WH'!$A$1:$O$999999,15,FALSE),"")</f>
        <v/>
      </c>
      <c r="D65" t="str">
        <f>IFERROR(VLOOKUP($B65,'Raw Data by WH'!$A$1:$O$999999,5,FALSE),"")</f>
        <v/>
      </c>
      <c r="E65" t="str">
        <f>IFERROR(VLOOKUP($B65,'Raw Data by WH'!$A$1:$O$999999,6,FALSE),"")</f>
        <v/>
      </c>
      <c r="F65" s="3" t="str">
        <f>IFERROR(VLOOKUP($B65,'Raw Data by WH'!$A$1:$O$999999,7,FALSE),"")</f>
        <v/>
      </c>
      <c r="G65" s="2" t="str">
        <f>IFERROR(VLOOKUP($B65,'Raw Data by WH'!$A$1:$O$999999,8,FALSE),"")</f>
        <v/>
      </c>
      <c r="H65" s="7" t="str">
        <f>IFERROR(VLOOKUP($B65,'Raw Data by WH'!$A$1:$O$999999,9,FALSE),"")</f>
        <v/>
      </c>
      <c r="I65" s="7" t="str">
        <f>IFERROR(VLOOKUP($B65,'Raw Data by WH'!$A$1:$O$999999,10,FALSE),"")</f>
        <v/>
      </c>
    </row>
    <row r="66" spans="1:9" x14ac:dyDescent="0.3">
      <c r="A66">
        <f t="shared" si="2"/>
        <v>57</v>
      </c>
      <c r="B66" t="str">
        <f t="shared" si="3"/>
        <v>1-57</v>
      </c>
      <c r="C66" t="str">
        <f>IFERROR(VLOOKUP($B66,'Raw Data by WH'!$A$1:$O$999999,15,FALSE),"")</f>
        <v/>
      </c>
      <c r="D66" t="str">
        <f>IFERROR(VLOOKUP($B66,'Raw Data by WH'!$A$1:$O$999999,5,FALSE),"")</f>
        <v/>
      </c>
      <c r="E66" t="str">
        <f>IFERROR(VLOOKUP($B66,'Raw Data by WH'!$A$1:$O$999999,6,FALSE),"")</f>
        <v/>
      </c>
      <c r="F66" s="3" t="str">
        <f>IFERROR(VLOOKUP($B66,'Raw Data by WH'!$A$1:$O$999999,7,FALSE),"")</f>
        <v/>
      </c>
      <c r="G66" s="2" t="str">
        <f>IFERROR(VLOOKUP($B66,'Raw Data by WH'!$A$1:$O$999999,8,FALSE),"")</f>
        <v/>
      </c>
      <c r="H66" s="7" t="str">
        <f>IFERROR(VLOOKUP($B66,'Raw Data by WH'!$A$1:$O$999999,9,FALSE),"")</f>
        <v/>
      </c>
      <c r="I66" s="7" t="str">
        <f>IFERROR(VLOOKUP($B66,'Raw Data by WH'!$A$1:$O$999999,10,FALSE),"")</f>
        <v/>
      </c>
    </row>
    <row r="67" spans="1:9" x14ac:dyDescent="0.3">
      <c r="A67">
        <f t="shared" si="2"/>
        <v>58</v>
      </c>
      <c r="B67" t="str">
        <f t="shared" si="3"/>
        <v>1-58</v>
      </c>
      <c r="C67" t="str">
        <f>IFERROR(VLOOKUP($B67,'Raw Data by WH'!$A$1:$O$999999,15,FALSE),"")</f>
        <v/>
      </c>
      <c r="D67" t="str">
        <f>IFERROR(VLOOKUP($B67,'Raw Data by WH'!$A$1:$O$999999,5,FALSE),"")</f>
        <v/>
      </c>
      <c r="E67" t="str">
        <f>IFERROR(VLOOKUP($B67,'Raw Data by WH'!$A$1:$O$999999,6,FALSE),"")</f>
        <v/>
      </c>
      <c r="F67" s="3" t="str">
        <f>IFERROR(VLOOKUP($B67,'Raw Data by WH'!$A$1:$O$999999,7,FALSE),"")</f>
        <v/>
      </c>
      <c r="G67" s="2" t="str">
        <f>IFERROR(VLOOKUP($B67,'Raw Data by WH'!$A$1:$O$999999,8,FALSE),"")</f>
        <v/>
      </c>
      <c r="H67" s="7" t="str">
        <f>IFERROR(VLOOKUP($B67,'Raw Data by WH'!$A$1:$O$999999,9,FALSE),"")</f>
        <v/>
      </c>
      <c r="I67" s="7" t="str">
        <f>IFERROR(VLOOKUP($B67,'Raw Data by WH'!$A$1:$O$999999,10,FALSE),"")</f>
        <v/>
      </c>
    </row>
    <row r="68" spans="1:9" x14ac:dyDescent="0.3">
      <c r="A68">
        <f t="shared" si="2"/>
        <v>59</v>
      </c>
      <c r="B68" t="str">
        <f t="shared" si="3"/>
        <v>1-59</v>
      </c>
      <c r="C68" t="str">
        <f>IFERROR(VLOOKUP($B68,'Raw Data by WH'!$A$1:$O$999999,15,FALSE),"")</f>
        <v/>
      </c>
      <c r="D68" t="str">
        <f>IFERROR(VLOOKUP($B68,'Raw Data by WH'!$A$1:$O$999999,5,FALSE),"")</f>
        <v/>
      </c>
      <c r="E68" t="str">
        <f>IFERROR(VLOOKUP($B68,'Raw Data by WH'!$A$1:$O$999999,6,FALSE),"")</f>
        <v/>
      </c>
      <c r="F68" s="3" t="str">
        <f>IFERROR(VLOOKUP($B68,'Raw Data by WH'!$A$1:$O$999999,7,FALSE),"")</f>
        <v/>
      </c>
      <c r="G68" s="2" t="str">
        <f>IFERROR(VLOOKUP($B68,'Raw Data by WH'!$A$1:$O$999999,8,FALSE),"")</f>
        <v/>
      </c>
      <c r="H68" s="7" t="str">
        <f>IFERROR(VLOOKUP($B68,'Raw Data by WH'!$A$1:$O$999999,9,FALSE),"")</f>
        <v/>
      </c>
      <c r="I68" s="7" t="str">
        <f>IFERROR(VLOOKUP($B68,'Raw Data by WH'!$A$1:$O$999999,10,FALSE),"")</f>
        <v/>
      </c>
    </row>
    <row r="69" spans="1:9" x14ac:dyDescent="0.3">
      <c r="A69">
        <f t="shared" si="2"/>
        <v>60</v>
      </c>
      <c r="B69" t="str">
        <f t="shared" si="3"/>
        <v>1-60</v>
      </c>
      <c r="C69" t="str">
        <f>IFERROR(VLOOKUP($B69,'Raw Data by WH'!$A$1:$O$999999,15,FALSE),"")</f>
        <v/>
      </c>
      <c r="D69" t="str">
        <f>IFERROR(VLOOKUP($B69,'Raw Data by WH'!$A$1:$O$999999,5,FALSE),"")</f>
        <v/>
      </c>
      <c r="E69" t="str">
        <f>IFERROR(VLOOKUP($B69,'Raw Data by WH'!$A$1:$O$999999,6,FALSE),"")</f>
        <v/>
      </c>
      <c r="F69" s="3" t="str">
        <f>IFERROR(VLOOKUP($B69,'Raw Data by WH'!$A$1:$O$999999,7,FALSE),"")</f>
        <v/>
      </c>
      <c r="G69" s="2" t="str">
        <f>IFERROR(VLOOKUP($B69,'Raw Data by WH'!$A$1:$O$999999,8,FALSE),"")</f>
        <v/>
      </c>
      <c r="H69" s="7" t="str">
        <f>IFERROR(VLOOKUP($B69,'Raw Data by WH'!$A$1:$O$999999,9,FALSE),"")</f>
        <v/>
      </c>
      <c r="I69" s="7" t="str">
        <f>IFERROR(VLOOKUP($B69,'Raw Data by WH'!$A$1:$O$999999,10,FALSE),"")</f>
        <v/>
      </c>
    </row>
    <row r="70" spans="1:9" x14ac:dyDescent="0.3">
      <c r="A70">
        <f t="shared" si="2"/>
        <v>61</v>
      </c>
      <c r="B70" t="str">
        <f t="shared" si="3"/>
        <v>1-61</v>
      </c>
      <c r="C70" t="str">
        <f>IFERROR(VLOOKUP($B70,'Raw Data by WH'!$A$1:$O$999999,15,FALSE),"")</f>
        <v/>
      </c>
      <c r="D70" t="str">
        <f>IFERROR(VLOOKUP($B70,'Raw Data by WH'!$A$1:$O$999999,5,FALSE),"")</f>
        <v/>
      </c>
      <c r="E70" t="str">
        <f>IFERROR(VLOOKUP($B70,'Raw Data by WH'!$A$1:$O$999999,6,FALSE),"")</f>
        <v/>
      </c>
      <c r="F70" s="3" t="str">
        <f>IFERROR(VLOOKUP($B70,'Raw Data by WH'!$A$1:$O$999999,7,FALSE),"")</f>
        <v/>
      </c>
      <c r="G70" s="2" t="str">
        <f>IFERROR(VLOOKUP($B70,'Raw Data by WH'!$A$1:$O$999999,8,FALSE),"")</f>
        <v/>
      </c>
      <c r="H70" s="7" t="str">
        <f>IFERROR(VLOOKUP($B70,'Raw Data by WH'!$A$1:$O$999999,9,FALSE),"")</f>
        <v/>
      </c>
      <c r="I70" s="7" t="str">
        <f>IFERROR(VLOOKUP($B70,'Raw Data by WH'!$A$1:$O$999999,10,FALSE),"")</f>
        <v/>
      </c>
    </row>
    <row r="71" spans="1:9" x14ac:dyDescent="0.3">
      <c r="A71">
        <f t="shared" si="2"/>
        <v>62</v>
      </c>
      <c r="B71" t="str">
        <f t="shared" si="3"/>
        <v>1-62</v>
      </c>
      <c r="C71" t="str">
        <f>IFERROR(VLOOKUP($B71,'Raw Data by WH'!$A$1:$O$999999,15,FALSE),"")</f>
        <v/>
      </c>
      <c r="D71" t="str">
        <f>IFERROR(VLOOKUP($B71,'Raw Data by WH'!$A$1:$O$999999,5,FALSE),"")</f>
        <v/>
      </c>
      <c r="E71" t="str">
        <f>IFERROR(VLOOKUP($B71,'Raw Data by WH'!$A$1:$O$999999,6,FALSE),"")</f>
        <v/>
      </c>
      <c r="F71" s="3" t="str">
        <f>IFERROR(VLOOKUP($B71,'Raw Data by WH'!$A$1:$O$999999,7,FALSE),"")</f>
        <v/>
      </c>
      <c r="G71" s="2" t="str">
        <f>IFERROR(VLOOKUP($B71,'Raw Data by WH'!$A$1:$O$999999,8,FALSE),"")</f>
        <v/>
      </c>
      <c r="H71" s="7" t="str">
        <f>IFERROR(VLOOKUP($B71,'Raw Data by WH'!$A$1:$O$999999,9,FALSE),"")</f>
        <v/>
      </c>
      <c r="I71" s="7" t="str">
        <f>IFERROR(VLOOKUP($B71,'Raw Data by WH'!$A$1:$O$999999,10,FALSE),"")</f>
        <v/>
      </c>
    </row>
    <row r="72" spans="1:9" x14ac:dyDescent="0.3">
      <c r="A72">
        <f t="shared" si="2"/>
        <v>63</v>
      </c>
      <c r="B72" t="str">
        <f t="shared" si="3"/>
        <v>1-63</v>
      </c>
      <c r="C72" t="str">
        <f>IFERROR(VLOOKUP($B72,'Raw Data by WH'!$A$1:$O$999999,15,FALSE),"")</f>
        <v/>
      </c>
      <c r="D72" t="str">
        <f>IFERROR(VLOOKUP($B72,'Raw Data by WH'!$A$1:$O$999999,5,FALSE),"")</f>
        <v/>
      </c>
      <c r="E72" t="str">
        <f>IFERROR(VLOOKUP($B72,'Raw Data by WH'!$A$1:$O$999999,6,FALSE),"")</f>
        <v/>
      </c>
      <c r="F72" s="3" t="str">
        <f>IFERROR(VLOOKUP($B72,'Raw Data by WH'!$A$1:$O$999999,7,FALSE),"")</f>
        <v/>
      </c>
      <c r="G72" s="2" t="str">
        <f>IFERROR(VLOOKUP($B72,'Raw Data by WH'!$A$1:$O$999999,8,FALSE),"")</f>
        <v/>
      </c>
      <c r="H72" s="7" t="str">
        <f>IFERROR(VLOOKUP($B72,'Raw Data by WH'!$A$1:$O$999999,9,FALSE),"")</f>
        <v/>
      </c>
      <c r="I72" s="7" t="str">
        <f>IFERROR(VLOOKUP($B72,'Raw Data by WH'!$A$1:$O$999999,10,FALSE),"")</f>
        <v/>
      </c>
    </row>
    <row r="73" spans="1:9" x14ac:dyDescent="0.3">
      <c r="A73">
        <f t="shared" si="2"/>
        <v>64</v>
      </c>
      <c r="B73" t="str">
        <f t="shared" si="3"/>
        <v>1-64</v>
      </c>
      <c r="C73" t="str">
        <f>IFERROR(VLOOKUP($B73,'Raw Data by WH'!$A$1:$O$999999,15,FALSE),"")</f>
        <v/>
      </c>
      <c r="D73" t="str">
        <f>IFERROR(VLOOKUP($B73,'Raw Data by WH'!$A$1:$O$999999,5,FALSE),"")</f>
        <v/>
      </c>
      <c r="E73" t="str">
        <f>IFERROR(VLOOKUP($B73,'Raw Data by WH'!$A$1:$O$999999,6,FALSE),"")</f>
        <v/>
      </c>
      <c r="F73" s="3" t="str">
        <f>IFERROR(VLOOKUP($B73,'Raw Data by WH'!$A$1:$O$999999,7,FALSE),"")</f>
        <v/>
      </c>
      <c r="G73" s="2" t="str">
        <f>IFERROR(VLOOKUP($B73,'Raw Data by WH'!$A$1:$O$999999,8,FALSE),"")</f>
        <v/>
      </c>
      <c r="H73" s="7" t="str">
        <f>IFERROR(VLOOKUP($B73,'Raw Data by WH'!$A$1:$O$999999,9,FALSE),"")</f>
        <v/>
      </c>
      <c r="I73" s="7" t="str">
        <f>IFERROR(VLOOKUP($B73,'Raw Data by WH'!$A$1:$O$999999,10,FALSE),"")</f>
        <v/>
      </c>
    </row>
    <row r="74" spans="1:9" x14ac:dyDescent="0.3">
      <c r="A74">
        <f t="shared" si="2"/>
        <v>65</v>
      </c>
      <c r="B74" t="str">
        <f t="shared" si="3"/>
        <v>1-65</v>
      </c>
      <c r="C74" t="str">
        <f>IFERROR(VLOOKUP($B74,'Raw Data by WH'!$A$1:$O$999999,15,FALSE),"")</f>
        <v/>
      </c>
      <c r="D74" t="str">
        <f>IFERROR(VLOOKUP($B74,'Raw Data by WH'!$A$1:$O$999999,5,FALSE),"")</f>
        <v/>
      </c>
      <c r="E74" t="str">
        <f>IFERROR(VLOOKUP($B74,'Raw Data by WH'!$A$1:$O$999999,6,FALSE),"")</f>
        <v/>
      </c>
      <c r="F74" s="3" t="str">
        <f>IFERROR(VLOOKUP($B74,'Raw Data by WH'!$A$1:$O$999999,7,FALSE),"")</f>
        <v/>
      </c>
      <c r="G74" s="2" t="str">
        <f>IFERROR(VLOOKUP($B74,'Raw Data by WH'!$A$1:$O$999999,8,FALSE),"")</f>
        <v/>
      </c>
      <c r="H74" s="7" t="str">
        <f>IFERROR(VLOOKUP($B74,'Raw Data by WH'!$A$1:$O$999999,9,FALSE),"")</f>
        <v/>
      </c>
      <c r="I74" s="7" t="str">
        <f>IFERROR(VLOOKUP($B74,'Raw Data by WH'!$A$1:$O$999999,10,FALSE),"")</f>
        <v/>
      </c>
    </row>
    <row r="75" spans="1:9" x14ac:dyDescent="0.3">
      <c r="A75">
        <f t="shared" si="2"/>
        <v>66</v>
      </c>
      <c r="B75" t="str">
        <f t="shared" si="3"/>
        <v>1-66</v>
      </c>
      <c r="C75" t="str">
        <f>IFERROR(VLOOKUP($B75,'Raw Data by WH'!$A$1:$O$999999,15,FALSE),"")</f>
        <v/>
      </c>
      <c r="D75" t="str">
        <f>IFERROR(VLOOKUP($B75,'Raw Data by WH'!$A$1:$O$999999,5,FALSE),"")</f>
        <v/>
      </c>
      <c r="E75" t="str">
        <f>IFERROR(VLOOKUP($B75,'Raw Data by WH'!$A$1:$O$999999,6,FALSE),"")</f>
        <v/>
      </c>
      <c r="F75" s="3" t="str">
        <f>IFERROR(VLOOKUP($B75,'Raw Data by WH'!$A$1:$O$999999,7,FALSE),"")</f>
        <v/>
      </c>
      <c r="G75" s="2" t="str">
        <f>IFERROR(VLOOKUP($B75,'Raw Data by WH'!$A$1:$O$999999,8,FALSE),"")</f>
        <v/>
      </c>
      <c r="H75" s="7" t="str">
        <f>IFERROR(VLOOKUP($B75,'Raw Data by WH'!$A$1:$O$999999,9,FALSE),"")</f>
        <v/>
      </c>
      <c r="I75" s="7" t="str">
        <f>IFERROR(VLOOKUP($B75,'Raw Data by WH'!$A$1:$O$999999,10,FALSE),"")</f>
        <v/>
      </c>
    </row>
    <row r="76" spans="1:9" x14ac:dyDescent="0.3">
      <c r="A76">
        <f t="shared" si="2"/>
        <v>67</v>
      </c>
      <c r="B76" t="str">
        <f t="shared" si="3"/>
        <v>1-67</v>
      </c>
      <c r="C76" t="str">
        <f>IFERROR(VLOOKUP($B76,'Raw Data by WH'!$A$1:$O$999999,15,FALSE),"")</f>
        <v/>
      </c>
      <c r="D76" t="str">
        <f>IFERROR(VLOOKUP($B76,'Raw Data by WH'!$A$1:$O$999999,5,FALSE),"")</f>
        <v/>
      </c>
      <c r="E76" t="str">
        <f>IFERROR(VLOOKUP($B76,'Raw Data by WH'!$A$1:$O$999999,6,FALSE),"")</f>
        <v/>
      </c>
      <c r="F76" s="3" t="str">
        <f>IFERROR(VLOOKUP($B76,'Raw Data by WH'!$A$1:$O$999999,7,FALSE),"")</f>
        <v/>
      </c>
      <c r="G76" s="2" t="str">
        <f>IFERROR(VLOOKUP($B76,'Raw Data by WH'!$A$1:$O$999999,8,FALSE),"")</f>
        <v/>
      </c>
      <c r="H76" s="7" t="str">
        <f>IFERROR(VLOOKUP($B76,'Raw Data by WH'!$A$1:$O$999999,9,FALSE),"")</f>
        <v/>
      </c>
      <c r="I76" s="7" t="str">
        <f>IFERROR(VLOOKUP($B76,'Raw Data by WH'!$A$1:$O$999999,10,FALSE),"")</f>
        <v/>
      </c>
    </row>
    <row r="77" spans="1:9" x14ac:dyDescent="0.3">
      <c r="A77">
        <f t="shared" si="2"/>
        <v>68</v>
      </c>
      <c r="B77" t="str">
        <f t="shared" si="3"/>
        <v>1-68</v>
      </c>
      <c r="C77" t="str">
        <f>IFERROR(VLOOKUP($B77,'Raw Data by WH'!$A$1:$O$999999,15,FALSE),"")</f>
        <v/>
      </c>
      <c r="D77" t="str">
        <f>IFERROR(VLOOKUP($B77,'Raw Data by WH'!$A$1:$O$999999,5,FALSE),"")</f>
        <v/>
      </c>
      <c r="E77" t="str">
        <f>IFERROR(VLOOKUP($B77,'Raw Data by WH'!$A$1:$O$999999,6,FALSE),"")</f>
        <v/>
      </c>
      <c r="F77" s="3" t="str">
        <f>IFERROR(VLOOKUP($B77,'Raw Data by WH'!$A$1:$O$999999,7,FALSE),"")</f>
        <v/>
      </c>
      <c r="G77" s="2" t="str">
        <f>IFERROR(VLOOKUP($B77,'Raw Data by WH'!$A$1:$O$999999,8,FALSE),"")</f>
        <v/>
      </c>
      <c r="H77" s="7" t="str">
        <f>IFERROR(VLOOKUP($B77,'Raw Data by WH'!$A$1:$O$999999,9,FALSE),"")</f>
        <v/>
      </c>
      <c r="I77" s="7" t="str">
        <f>IFERROR(VLOOKUP($B77,'Raw Data by WH'!$A$1:$O$999999,10,FALSE),"")</f>
        <v/>
      </c>
    </row>
    <row r="78" spans="1:9" x14ac:dyDescent="0.3">
      <c r="A78">
        <f t="shared" si="2"/>
        <v>69</v>
      </c>
      <c r="B78" t="str">
        <f t="shared" si="3"/>
        <v>1-69</v>
      </c>
      <c r="C78" t="str">
        <f>IFERROR(VLOOKUP($B78,'Raw Data by WH'!$A$1:$O$999999,15,FALSE),"")</f>
        <v/>
      </c>
      <c r="D78" t="str">
        <f>IFERROR(VLOOKUP($B78,'Raw Data by WH'!$A$1:$O$999999,5,FALSE),"")</f>
        <v/>
      </c>
      <c r="E78" t="str">
        <f>IFERROR(VLOOKUP($B78,'Raw Data by WH'!$A$1:$O$999999,6,FALSE),"")</f>
        <v/>
      </c>
      <c r="F78" s="3" t="str">
        <f>IFERROR(VLOOKUP($B78,'Raw Data by WH'!$A$1:$O$999999,7,FALSE),"")</f>
        <v/>
      </c>
      <c r="G78" s="2" t="str">
        <f>IFERROR(VLOOKUP($B78,'Raw Data by WH'!$A$1:$O$999999,8,FALSE),"")</f>
        <v/>
      </c>
      <c r="H78" s="7" t="str">
        <f>IFERROR(VLOOKUP($B78,'Raw Data by WH'!$A$1:$O$999999,9,FALSE),"")</f>
        <v/>
      </c>
      <c r="I78" s="7" t="str">
        <f>IFERROR(VLOOKUP($B78,'Raw Data by WH'!$A$1:$O$999999,10,FALSE),"")</f>
        <v/>
      </c>
    </row>
    <row r="79" spans="1:9" x14ac:dyDescent="0.3">
      <c r="A79">
        <f t="shared" si="2"/>
        <v>70</v>
      </c>
      <c r="B79" t="str">
        <f t="shared" si="3"/>
        <v>1-70</v>
      </c>
      <c r="C79" t="str">
        <f>IFERROR(VLOOKUP($B79,'Raw Data by WH'!$A$1:$O$999999,15,FALSE),"")</f>
        <v/>
      </c>
      <c r="D79" t="str">
        <f>IFERROR(VLOOKUP($B79,'Raw Data by WH'!$A$1:$O$999999,5,FALSE),"")</f>
        <v/>
      </c>
      <c r="E79" t="str">
        <f>IFERROR(VLOOKUP($B79,'Raw Data by WH'!$A$1:$O$999999,6,FALSE),"")</f>
        <v/>
      </c>
      <c r="F79" s="3" t="str">
        <f>IFERROR(VLOOKUP($B79,'Raw Data by WH'!$A$1:$O$999999,7,FALSE),"")</f>
        <v/>
      </c>
      <c r="G79" s="2" t="str">
        <f>IFERROR(VLOOKUP($B79,'Raw Data by WH'!$A$1:$O$999999,8,FALSE),"")</f>
        <v/>
      </c>
      <c r="H79" s="7" t="str">
        <f>IFERROR(VLOOKUP($B79,'Raw Data by WH'!$A$1:$O$999999,9,FALSE),"")</f>
        <v/>
      </c>
      <c r="I79" s="7" t="str">
        <f>IFERROR(VLOOKUP($B79,'Raw Data by WH'!$A$1:$O$999999,10,FALSE),"")</f>
        <v/>
      </c>
    </row>
    <row r="80" spans="1:9" x14ac:dyDescent="0.3">
      <c r="A80">
        <f t="shared" si="2"/>
        <v>71</v>
      </c>
      <c r="B80" t="str">
        <f t="shared" si="3"/>
        <v>1-71</v>
      </c>
      <c r="C80" t="str">
        <f>IFERROR(VLOOKUP($B80,'Raw Data by WH'!$A$1:$O$999999,15,FALSE),"")</f>
        <v/>
      </c>
      <c r="D80" t="str">
        <f>IFERROR(VLOOKUP($B80,'Raw Data by WH'!$A$1:$O$999999,5,FALSE),"")</f>
        <v/>
      </c>
      <c r="E80" t="str">
        <f>IFERROR(VLOOKUP($B80,'Raw Data by WH'!$A$1:$O$999999,6,FALSE),"")</f>
        <v/>
      </c>
      <c r="F80" s="3" t="str">
        <f>IFERROR(VLOOKUP($B80,'Raw Data by WH'!$A$1:$O$999999,7,FALSE),"")</f>
        <v/>
      </c>
      <c r="G80" s="2" t="str">
        <f>IFERROR(VLOOKUP($B80,'Raw Data by WH'!$A$1:$O$999999,8,FALSE),"")</f>
        <v/>
      </c>
      <c r="H80" s="7" t="str">
        <f>IFERROR(VLOOKUP($B80,'Raw Data by WH'!$A$1:$O$999999,9,FALSE),"")</f>
        <v/>
      </c>
      <c r="I80" s="7" t="str">
        <f>IFERROR(VLOOKUP($B80,'Raw Data by WH'!$A$1:$O$999999,10,FALSE),"")</f>
        <v/>
      </c>
    </row>
    <row r="81" spans="1:9" x14ac:dyDescent="0.3">
      <c r="A81">
        <f t="shared" si="2"/>
        <v>72</v>
      </c>
      <c r="B81" t="str">
        <f t="shared" si="3"/>
        <v>1-72</v>
      </c>
      <c r="C81" t="str">
        <f>IFERROR(VLOOKUP($B81,'Raw Data by WH'!$A$1:$O$999999,15,FALSE),"")</f>
        <v/>
      </c>
      <c r="D81" t="str">
        <f>IFERROR(VLOOKUP($B81,'Raw Data by WH'!$A$1:$O$999999,5,FALSE),"")</f>
        <v/>
      </c>
      <c r="E81" t="str">
        <f>IFERROR(VLOOKUP($B81,'Raw Data by WH'!$A$1:$O$999999,6,FALSE),"")</f>
        <v/>
      </c>
      <c r="F81" s="3" t="str">
        <f>IFERROR(VLOOKUP($B81,'Raw Data by WH'!$A$1:$O$999999,7,FALSE),"")</f>
        <v/>
      </c>
      <c r="G81" s="2" t="str">
        <f>IFERROR(VLOOKUP($B81,'Raw Data by WH'!$A$1:$O$999999,8,FALSE),"")</f>
        <v/>
      </c>
      <c r="H81" s="7" t="str">
        <f>IFERROR(VLOOKUP($B81,'Raw Data by WH'!$A$1:$O$999999,9,FALSE),"")</f>
        <v/>
      </c>
      <c r="I81" s="7" t="str">
        <f>IFERROR(VLOOKUP($B81,'Raw Data by WH'!$A$1:$O$999999,10,FALSE),"")</f>
        <v/>
      </c>
    </row>
    <row r="82" spans="1:9" x14ac:dyDescent="0.3">
      <c r="A82">
        <f t="shared" si="2"/>
        <v>73</v>
      </c>
      <c r="B82" t="str">
        <f t="shared" si="3"/>
        <v>1-73</v>
      </c>
      <c r="C82" t="str">
        <f>IFERROR(VLOOKUP($B82,'Raw Data by WH'!$A$1:$O$999999,15,FALSE),"")</f>
        <v/>
      </c>
      <c r="D82" t="str">
        <f>IFERROR(VLOOKUP($B82,'Raw Data by WH'!$A$1:$O$999999,5,FALSE),"")</f>
        <v/>
      </c>
      <c r="E82" t="str">
        <f>IFERROR(VLOOKUP($B82,'Raw Data by WH'!$A$1:$O$999999,6,FALSE),"")</f>
        <v/>
      </c>
      <c r="F82" s="3" t="str">
        <f>IFERROR(VLOOKUP($B82,'Raw Data by WH'!$A$1:$O$999999,7,FALSE),"")</f>
        <v/>
      </c>
      <c r="G82" s="2" t="str">
        <f>IFERROR(VLOOKUP($B82,'Raw Data by WH'!$A$1:$O$999999,8,FALSE),"")</f>
        <v/>
      </c>
      <c r="H82" s="7" t="str">
        <f>IFERROR(VLOOKUP($B82,'Raw Data by WH'!$A$1:$O$999999,9,FALSE),"")</f>
        <v/>
      </c>
      <c r="I82" s="7" t="str">
        <f>IFERROR(VLOOKUP($B82,'Raw Data by WH'!$A$1:$O$999999,10,FALSE),"")</f>
        <v/>
      </c>
    </row>
    <row r="83" spans="1:9" x14ac:dyDescent="0.3">
      <c r="A83">
        <f t="shared" si="2"/>
        <v>74</v>
      </c>
      <c r="B83" t="str">
        <f t="shared" si="3"/>
        <v>1-74</v>
      </c>
      <c r="C83" t="str">
        <f>IFERROR(VLOOKUP($B83,'Raw Data by WH'!$A$1:$O$999999,15,FALSE),"")</f>
        <v/>
      </c>
      <c r="D83" t="str">
        <f>IFERROR(VLOOKUP($B83,'Raw Data by WH'!$A$1:$O$999999,5,FALSE),"")</f>
        <v/>
      </c>
      <c r="E83" t="str">
        <f>IFERROR(VLOOKUP($B83,'Raw Data by WH'!$A$1:$O$999999,6,FALSE),"")</f>
        <v/>
      </c>
      <c r="F83" s="3" t="str">
        <f>IFERROR(VLOOKUP($B83,'Raw Data by WH'!$A$1:$O$999999,7,FALSE),"")</f>
        <v/>
      </c>
      <c r="G83" s="2" t="str">
        <f>IFERROR(VLOOKUP($B83,'Raw Data by WH'!$A$1:$O$999999,8,FALSE),"")</f>
        <v/>
      </c>
      <c r="H83" s="7" t="str">
        <f>IFERROR(VLOOKUP($B83,'Raw Data by WH'!$A$1:$O$999999,9,FALSE),"")</f>
        <v/>
      </c>
      <c r="I83" s="7" t="str">
        <f>IFERROR(VLOOKUP($B83,'Raw Data by WH'!$A$1:$O$999999,10,FALSE),"")</f>
        <v/>
      </c>
    </row>
    <row r="84" spans="1:9" x14ac:dyDescent="0.3">
      <c r="A84">
        <f t="shared" si="2"/>
        <v>75</v>
      </c>
      <c r="B84" t="str">
        <f t="shared" si="3"/>
        <v>1-75</v>
      </c>
      <c r="C84" t="str">
        <f>IFERROR(VLOOKUP($B84,'Raw Data by WH'!$A$1:$O$999999,15,FALSE),"")</f>
        <v/>
      </c>
      <c r="D84" t="str">
        <f>IFERROR(VLOOKUP($B84,'Raw Data by WH'!$A$1:$O$999999,5,FALSE),"")</f>
        <v/>
      </c>
      <c r="E84" t="str">
        <f>IFERROR(VLOOKUP($B84,'Raw Data by WH'!$A$1:$O$999999,6,FALSE),"")</f>
        <v/>
      </c>
      <c r="F84" s="3" t="str">
        <f>IFERROR(VLOOKUP($B84,'Raw Data by WH'!$A$1:$O$999999,7,FALSE),"")</f>
        <v/>
      </c>
      <c r="G84" s="2" t="str">
        <f>IFERROR(VLOOKUP($B84,'Raw Data by WH'!$A$1:$O$999999,8,FALSE),"")</f>
        <v/>
      </c>
      <c r="H84" s="7" t="str">
        <f>IFERROR(VLOOKUP($B84,'Raw Data by WH'!$A$1:$O$999999,9,FALSE),"")</f>
        <v/>
      </c>
      <c r="I84" s="7" t="str">
        <f>IFERROR(VLOOKUP($B84,'Raw Data by WH'!$A$1:$O$999999,10,FALSE),"")</f>
        <v/>
      </c>
    </row>
    <row r="85" spans="1:9" x14ac:dyDescent="0.3">
      <c r="A85">
        <f t="shared" si="2"/>
        <v>76</v>
      </c>
      <c r="B85" t="str">
        <f t="shared" si="3"/>
        <v>1-76</v>
      </c>
      <c r="C85" t="str">
        <f>IFERROR(VLOOKUP($B85,'Raw Data by WH'!$A$1:$O$999999,15,FALSE),"")</f>
        <v/>
      </c>
      <c r="D85" t="str">
        <f>IFERROR(VLOOKUP($B85,'Raw Data by WH'!$A$1:$O$999999,5,FALSE),"")</f>
        <v/>
      </c>
      <c r="E85" t="str">
        <f>IFERROR(VLOOKUP($B85,'Raw Data by WH'!$A$1:$O$999999,6,FALSE),"")</f>
        <v/>
      </c>
      <c r="F85" s="3" t="str">
        <f>IFERROR(VLOOKUP($B85,'Raw Data by WH'!$A$1:$O$999999,7,FALSE),"")</f>
        <v/>
      </c>
      <c r="G85" s="2" t="str">
        <f>IFERROR(VLOOKUP($B85,'Raw Data by WH'!$A$1:$O$999999,8,FALSE),"")</f>
        <v/>
      </c>
      <c r="H85" s="7" t="str">
        <f>IFERROR(VLOOKUP($B85,'Raw Data by WH'!$A$1:$O$999999,9,FALSE),"")</f>
        <v/>
      </c>
      <c r="I85" s="7" t="str">
        <f>IFERROR(VLOOKUP($B85,'Raw Data by WH'!$A$1:$O$999999,10,FALSE),"")</f>
        <v/>
      </c>
    </row>
    <row r="86" spans="1:9" x14ac:dyDescent="0.3">
      <c r="A86">
        <f t="shared" si="2"/>
        <v>77</v>
      </c>
      <c r="B86" t="str">
        <f t="shared" si="3"/>
        <v>1-77</v>
      </c>
      <c r="C86" t="str">
        <f>IFERROR(VLOOKUP($B86,'Raw Data by WH'!$A$1:$O$999999,15,FALSE),"")</f>
        <v/>
      </c>
      <c r="D86" t="str">
        <f>IFERROR(VLOOKUP($B86,'Raw Data by WH'!$A$1:$O$999999,5,FALSE),"")</f>
        <v/>
      </c>
      <c r="E86" t="str">
        <f>IFERROR(VLOOKUP($B86,'Raw Data by WH'!$A$1:$O$999999,6,FALSE),"")</f>
        <v/>
      </c>
      <c r="F86" s="3" t="str">
        <f>IFERROR(VLOOKUP($B86,'Raw Data by WH'!$A$1:$O$999999,7,FALSE),"")</f>
        <v/>
      </c>
      <c r="G86" s="2" t="str">
        <f>IFERROR(VLOOKUP($B86,'Raw Data by WH'!$A$1:$O$999999,8,FALSE),"")</f>
        <v/>
      </c>
      <c r="H86" s="7" t="str">
        <f>IFERROR(VLOOKUP($B86,'Raw Data by WH'!$A$1:$O$999999,9,FALSE),"")</f>
        <v/>
      </c>
      <c r="I86" s="7" t="str">
        <f>IFERROR(VLOOKUP($B86,'Raw Data by WH'!$A$1:$O$999999,10,FALSE),"")</f>
        <v/>
      </c>
    </row>
    <row r="87" spans="1:9" x14ac:dyDescent="0.3">
      <c r="A87">
        <f t="shared" si="2"/>
        <v>78</v>
      </c>
      <c r="B87" t="str">
        <f t="shared" si="3"/>
        <v>1-78</v>
      </c>
      <c r="C87" t="str">
        <f>IFERROR(VLOOKUP($B87,'Raw Data by WH'!$A$1:$O$999999,15,FALSE),"")</f>
        <v/>
      </c>
      <c r="D87" t="str">
        <f>IFERROR(VLOOKUP($B87,'Raw Data by WH'!$A$1:$O$999999,5,FALSE),"")</f>
        <v/>
      </c>
      <c r="E87" t="str">
        <f>IFERROR(VLOOKUP($B87,'Raw Data by WH'!$A$1:$O$999999,6,FALSE),"")</f>
        <v/>
      </c>
      <c r="F87" s="3" t="str">
        <f>IFERROR(VLOOKUP($B87,'Raw Data by WH'!$A$1:$O$999999,7,FALSE),"")</f>
        <v/>
      </c>
      <c r="G87" s="2" t="str">
        <f>IFERROR(VLOOKUP($B87,'Raw Data by WH'!$A$1:$O$999999,8,FALSE),"")</f>
        <v/>
      </c>
      <c r="H87" s="7" t="str">
        <f>IFERROR(VLOOKUP($B87,'Raw Data by WH'!$A$1:$O$999999,9,FALSE),"")</f>
        <v/>
      </c>
      <c r="I87" s="7" t="str">
        <f>IFERROR(VLOOKUP($B87,'Raw Data by WH'!$A$1:$O$999999,10,FALSE),"")</f>
        <v/>
      </c>
    </row>
    <row r="88" spans="1:9" x14ac:dyDescent="0.3">
      <c r="A88">
        <f t="shared" si="2"/>
        <v>79</v>
      </c>
      <c r="B88" t="str">
        <f t="shared" si="3"/>
        <v>1-79</v>
      </c>
      <c r="C88" t="str">
        <f>IFERROR(VLOOKUP($B88,'Raw Data by WH'!$A$1:$O$999999,15,FALSE),"")</f>
        <v/>
      </c>
      <c r="D88" t="str">
        <f>IFERROR(VLOOKUP($B88,'Raw Data by WH'!$A$1:$O$999999,5,FALSE),"")</f>
        <v/>
      </c>
      <c r="E88" t="str">
        <f>IFERROR(VLOOKUP($B88,'Raw Data by WH'!$A$1:$O$999999,6,FALSE),"")</f>
        <v/>
      </c>
      <c r="F88" s="3" t="str">
        <f>IFERROR(VLOOKUP($B88,'Raw Data by WH'!$A$1:$O$999999,7,FALSE),"")</f>
        <v/>
      </c>
      <c r="G88" s="2" t="str">
        <f>IFERROR(VLOOKUP($B88,'Raw Data by WH'!$A$1:$O$999999,8,FALSE),"")</f>
        <v/>
      </c>
      <c r="H88" s="7" t="str">
        <f>IFERROR(VLOOKUP($B88,'Raw Data by WH'!$A$1:$O$999999,9,FALSE),"")</f>
        <v/>
      </c>
      <c r="I88" s="7" t="str">
        <f>IFERROR(VLOOKUP($B88,'Raw Data by WH'!$A$1:$O$999999,10,FALSE),"")</f>
        <v/>
      </c>
    </row>
    <row r="89" spans="1:9" x14ac:dyDescent="0.3">
      <c r="A89">
        <f t="shared" si="2"/>
        <v>80</v>
      </c>
      <c r="B89" t="str">
        <f t="shared" si="3"/>
        <v>1-80</v>
      </c>
      <c r="C89" t="str">
        <f>IFERROR(VLOOKUP($B89,'Raw Data by WH'!$A$1:$O$999999,15,FALSE),"")</f>
        <v/>
      </c>
      <c r="D89" t="str">
        <f>IFERROR(VLOOKUP($B89,'Raw Data by WH'!$A$1:$O$999999,5,FALSE),"")</f>
        <v/>
      </c>
      <c r="E89" t="str">
        <f>IFERROR(VLOOKUP($B89,'Raw Data by WH'!$A$1:$O$999999,6,FALSE),"")</f>
        <v/>
      </c>
      <c r="F89" s="3" t="str">
        <f>IFERROR(VLOOKUP($B89,'Raw Data by WH'!$A$1:$O$999999,7,FALSE),"")</f>
        <v/>
      </c>
      <c r="G89" s="2" t="str">
        <f>IFERROR(VLOOKUP($B89,'Raw Data by WH'!$A$1:$O$999999,8,FALSE),"")</f>
        <v/>
      </c>
      <c r="H89" s="7" t="str">
        <f>IFERROR(VLOOKUP($B89,'Raw Data by WH'!$A$1:$O$999999,9,FALSE),"")</f>
        <v/>
      </c>
      <c r="I89" s="7" t="str">
        <f>IFERROR(VLOOKUP($B89,'Raw Data by WH'!$A$1:$O$999999,10,FALSE),"")</f>
        <v/>
      </c>
    </row>
    <row r="90" spans="1:9" x14ac:dyDescent="0.3">
      <c r="A90">
        <f t="shared" si="2"/>
        <v>81</v>
      </c>
      <c r="B90" t="str">
        <f t="shared" si="3"/>
        <v>1-81</v>
      </c>
      <c r="C90" t="str">
        <f>IFERROR(VLOOKUP($B90,'Raw Data by WH'!$A$1:$O$999999,15,FALSE),"")</f>
        <v/>
      </c>
      <c r="D90" t="str">
        <f>IFERROR(VLOOKUP($B90,'Raw Data by WH'!$A$1:$O$999999,5,FALSE),"")</f>
        <v/>
      </c>
      <c r="E90" t="str">
        <f>IFERROR(VLOOKUP($B90,'Raw Data by WH'!$A$1:$O$999999,6,FALSE),"")</f>
        <v/>
      </c>
      <c r="F90" s="3" t="str">
        <f>IFERROR(VLOOKUP($B90,'Raw Data by WH'!$A$1:$O$999999,7,FALSE),"")</f>
        <v/>
      </c>
      <c r="G90" s="2" t="str">
        <f>IFERROR(VLOOKUP($B90,'Raw Data by WH'!$A$1:$O$999999,8,FALSE),"")</f>
        <v/>
      </c>
      <c r="H90" s="7" t="str">
        <f>IFERROR(VLOOKUP($B90,'Raw Data by WH'!$A$1:$O$999999,9,FALSE),"")</f>
        <v/>
      </c>
      <c r="I90" s="7" t="str">
        <f>IFERROR(VLOOKUP($B90,'Raw Data by WH'!$A$1:$O$999999,10,FALSE),"")</f>
        <v/>
      </c>
    </row>
    <row r="91" spans="1:9" x14ac:dyDescent="0.3">
      <c r="A91">
        <f t="shared" si="2"/>
        <v>82</v>
      </c>
      <c r="B91" t="str">
        <f t="shared" si="3"/>
        <v>1-82</v>
      </c>
      <c r="C91" t="str">
        <f>IFERROR(VLOOKUP($B91,'Raw Data by WH'!$A$1:$O$999999,15,FALSE),"")</f>
        <v/>
      </c>
      <c r="D91" t="str">
        <f>IFERROR(VLOOKUP($B91,'Raw Data by WH'!$A$1:$O$999999,5,FALSE),"")</f>
        <v/>
      </c>
      <c r="E91" t="str">
        <f>IFERROR(VLOOKUP($B91,'Raw Data by WH'!$A$1:$O$999999,6,FALSE),"")</f>
        <v/>
      </c>
      <c r="F91" s="3" t="str">
        <f>IFERROR(VLOOKUP($B91,'Raw Data by WH'!$A$1:$O$999999,7,FALSE),"")</f>
        <v/>
      </c>
      <c r="G91" s="2" t="str">
        <f>IFERROR(VLOOKUP($B91,'Raw Data by WH'!$A$1:$O$999999,8,FALSE),"")</f>
        <v/>
      </c>
      <c r="H91" s="7" t="str">
        <f>IFERROR(VLOOKUP($B91,'Raw Data by WH'!$A$1:$O$999999,9,FALSE),"")</f>
        <v/>
      </c>
      <c r="I91" s="7" t="str">
        <f>IFERROR(VLOOKUP($B91,'Raw Data by WH'!$A$1:$O$999999,10,FALSE),"")</f>
        <v/>
      </c>
    </row>
    <row r="92" spans="1:9" x14ac:dyDescent="0.3">
      <c r="A92">
        <f t="shared" si="2"/>
        <v>83</v>
      </c>
      <c r="B92" t="str">
        <f t="shared" si="3"/>
        <v>1-83</v>
      </c>
      <c r="C92" t="str">
        <f>IFERROR(VLOOKUP($B92,'Raw Data by WH'!$A$1:$O$999999,15,FALSE),"")</f>
        <v/>
      </c>
      <c r="D92" t="str">
        <f>IFERROR(VLOOKUP($B92,'Raw Data by WH'!$A$1:$O$999999,5,FALSE),"")</f>
        <v/>
      </c>
      <c r="E92" t="str">
        <f>IFERROR(VLOOKUP($B92,'Raw Data by WH'!$A$1:$O$999999,6,FALSE),"")</f>
        <v/>
      </c>
      <c r="F92" s="3" t="str">
        <f>IFERROR(VLOOKUP($B92,'Raw Data by WH'!$A$1:$O$999999,7,FALSE),"")</f>
        <v/>
      </c>
      <c r="G92" s="2" t="str">
        <f>IFERROR(VLOOKUP($B92,'Raw Data by WH'!$A$1:$O$999999,8,FALSE),"")</f>
        <v/>
      </c>
      <c r="H92" s="7" t="str">
        <f>IFERROR(VLOOKUP($B92,'Raw Data by WH'!$A$1:$O$999999,9,FALSE),"")</f>
        <v/>
      </c>
      <c r="I92" s="7" t="str">
        <f>IFERROR(VLOOKUP($B92,'Raw Data by WH'!$A$1:$O$999999,10,FALSE),"")</f>
        <v/>
      </c>
    </row>
    <row r="93" spans="1:9" x14ac:dyDescent="0.3">
      <c r="A93">
        <f t="shared" si="2"/>
        <v>84</v>
      </c>
      <c r="B93" t="str">
        <f t="shared" si="3"/>
        <v>1-84</v>
      </c>
      <c r="C93" t="str">
        <f>IFERROR(VLOOKUP($B93,'Raw Data by WH'!$A$1:$O$999999,15,FALSE),"")</f>
        <v/>
      </c>
      <c r="D93" t="str">
        <f>IFERROR(VLOOKUP($B93,'Raw Data by WH'!$A$1:$O$999999,5,FALSE),"")</f>
        <v/>
      </c>
      <c r="E93" t="str">
        <f>IFERROR(VLOOKUP($B93,'Raw Data by WH'!$A$1:$O$999999,6,FALSE),"")</f>
        <v/>
      </c>
      <c r="F93" s="3" t="str">
        <f>IFERROR(VLOOKUP($B93,'Raw Data by WH'!$A$1:$O$999999,7,FALSE),"")</f>
        <v/>
      </c>
      <c r="G93" s="2" t="str">
        <f>IFERROR(VLOOKUP($B93,'Raw Data by WH'!$A$1:$O$999999,8,FALSE),"")</f>
        <v/>
      </c>
      <c r="H93" s="7" t="str">
        <f>IFERROR(VLOOKUP($B93,'Raw Data by WH'!$A$1:$O$999999,9,FALSE),"")</f>
        <v/>
      </c>
      <c r="I93" s="7" t="str">
        <f>IFERROR(VLOOKUP($B93,'Raw Data by WH'!$A$1:$O$999999,10,FALSE),"")</f>
        <v/>
      </c>
    </row>
    <row r="94" spans="1:9" x14ac:dyDescent="0.3">
      <c r="A94">
        <f t="shared" si="2"/>
        <v>85</v>
      </c>
      <c r="B94" t="str">
        <f t="shared" si="3"/>
        <v>1-85</v>
      </c>
      <c r="C94" t="str">
        <f>IFERROR(VLOOKUP($B94,'Raw Data by WH'!$A$1:$O$999999,15,FALSE),"")</f>
        <v/>
      </c>
      <c r="D94" t="str">
        <f>IFERROR(VLOOKUP($B94,'Raw Data by WH'!$A$1:$O$999999,5,FALSE),"")</f>
        <v/>
      </c>
      <c r="E94" t="str">
        <f>IFERROR(VLOOKUP($B94,'Raw Data by WH'!$A$1:$O$999999,6,FALSE),"")</f>
        <v/>
      </c>
      <c r="F94" s="3" t="str">
        <f>IFERROR(VLOOKUP($B94,'Raw Data by WH'!$A$1:$O$999999,7,FALSE),"")</f>
        <v/>
      </c>
      <c r="G94" s="2" t="str">
        <f>IFERROR(VLOOKUP($B94,'Raw Data by WH'!$A$1:$O$999999,8,FALSE),"")</f>
        <v/>
      </c>
      <c r="H94" s="7" t="str">
        <f>IFERROR(VLOOKUP($B94,'Raw Data by WH'!$A$1:$O$999999,9,FALSE),"")</f>
        <v/>
      </c>
      <c r="I94" s="7" t="str">
        <f>IFERROR(VLOOKUP($B94,'Raw Data by WH'!$A$1:$O$999999,10,FALSE),"")</f>
        <v/>
      </c>
    </row>
    <row r="95" spans="1:9" x14ac:dyDescent="0.3">
      <c r="A95">
        <f t="shared" si="2"/>
        <v>86</v>
      </c>
      <c r="B95" t="str">
        <f t="shared" si="3"/>
        <v>1-86</v>
      </c>
      <c r="C95" t="str">
        <f>IFERROR(VLOOKUP($B95,'Raw Data by WH'!$A$1:$O$999999,15,FALSE),"")</f>
        <v/>
      </c>
      <c r="D95" t="str">
        <f>IFERROR(VLOOKUP($B95,'Raw Data by WH'!$A$1:$O$999999,5,FALSE),"")</f>
        <v/>
      </c>
      <c r="E95" t="str">
        <f>IFERROR(VLOOKUP($B95,'Raw Data by WH'!$A$1:$O$999999,6,FALSE),"")</f>
        <v/>
      </c>
      <c r="F95" s="3" t="str">
        <f>IFERROR(VLOOKUP($B95,'Raw Data by WH'!$A$1:$O$999999,7,FALSE),"")</f>
        <v/>
      </c>
      <c r="G95" s="2" t="str">
        <f>IFERROR(VLOOKUP($B95,'Raw Data by WH'!$A$1:$O$999999,8,FALSE),"")</f>
        <v/>
      </c>
      <c r="H95" s="7" t="str">
        <f>IFERROR(VLOOKUP($B95,'Raw Data by WH'!$A$1:$O$999999,9,FALSE),"")</f>
        <v/>
      </c>
      <c r="I95" s="7" t="str">
        <f>IFERROR(VLOOKUP($B95,'Raw Data by WH'!$A$1:$O$999999,10,FALSE),"")</f>
        <v/>
      </c>
    </row>
    <row r="96" spans="1:9" x14ac:dyDescent="0.3">
      <c r="A96">
        <f t="shared" si="2"/>
        <v>87</v>
      </c>
      <c r="B96" t="str">
        <f t="shared" si="3"/>
        <v>1-87</v>
      </c>
      <c r="C96" t="str">
        <f>IFERROR(VLOOKUP($B96,'Raw Data by WH'!$A$1:$O$999999,15,FALSE),"")</f>
        <v/>
      </c>
      <c r="D96" t="str">
        <f>IFERROR(VLOOKUP($B96,'Raw Data by WH'!$A$1:$O$999999,5,FALSE),"")</f>
        <v/>
      </c>
      <c r="E96" t="str">
        <f>IFERROR(VLOOKUP($B96,'Raw Data by WH'!$A$1:$O$999999,6,FALSE),"")</f>
        <v/>
      </c>
      <c r="F96" s="3" t="str">
        <f>IFERROR(VLOOKUP($B96,'Raw Data by WH'!$A$1:$O$999999,7,FALSE),"")</f>
        <v/>
      </c>
      <c r="G96" s="2" t="str">
        <f>IFERROR(VLOOKUP($B96,'Raw Data by WH'!$A$1:$O$999999,8,FALSE),"")</f>
        <v/>
      </c>
      <c r="H96" s="7" t="str">
        <f>IFERROR(VLOOKUP($B96,'Raw Data by WH'!$A$1:$O$999999,9,FALSE),"")</f>
        <v/>
      </c>
      <c r="I96" s="7" t="str">
        <f>IFERROR(VLOOKUP($B96,'Raw Data by WH'!$A$1:$O$999999,10,FALSE),"")</f>
        <v/>
      </c>
    </row>
    <row r="97" spans="1:9" x14ac:dyDescent="0.3">
      <c r="A97">
        <f t="shared" si="2"/>
        <v>88</v>
      </c>
      <c r="B97" t="str">
        <f t="shared" si="3"/>
        <v>1-88</v>
      </c>
      <c r="C97" t="str">
        <f>IFERROR(VLOOKUP($B97,'Raw Data by WH'!$A$1:$O$999999,15,FALSE),"")</f>
        <v/>
      </c>
      <c r="D97" t="str">
        <f>IFERROR(VLOOKUP($B97,'Raw Data by WH'!$A$1:$O$999999,5,FALSE),"")</f>
        <v/>
      </c>
      <c r="E97" t="str">
        <f>IFERROR(VLOOKUP($B97,'Raw Data by WH'!$A$1:$O$999999,6,FALSE),"")</f>
        <v/>
      </c>
      <c r="F97" s="3" t="str">
        <f>IFERROR(VLOOKUP($B97,'Raw Data by WH'!$A$1:$O$999999,7,FALSE),"")</f>
        <v/>
      </c>
      <c r="G97" s="2" t="str">
        <f>IFERROR(VLOOKUP($B97,'Raw Data by WH'!$A$1:$O$999999,8,FALSE),"")</f>
        <v/>
      </c>
      <c r="H97" s="7" t="str">
        <f>IFERROR(VLOOKUP($B97,'Raw Data by WH'!$A$1:$O$999999,9,FALSE),"")</f>
        <v/>
      </c>
      <c r="I97" s="7" t="str">
        <f>IFERROR(VLOOKUP($B97,'Raw Data by WH'!$A$1:$O$999999,10,FALSE),"")</f>
        <v/>
      </c>
    </row>
    <row r="98" spans="1:9" x14ac:dyDescent="0.3">
      <c r="A98">
        <f t="shared" si="2"/>
        <v>89</v>
      </c>
      <c r="B98" t="str">
        <f t="shared" si="3"/>
        <v>1-89</v>
      </c>
      <c r="C98" t="str">
        <f>IFERROR(VLOOKUP($B98,'Raw Data by WH'!$A$1:$O$999999,15,FALSE),"")</f>
        <v/>
      </c>
      <c r="D98" t="str">
        <f>IFERROR(VLOOKUP($B98,'Raw Data by WH'!$A$1:$O$999999,5,FALSE),"")</f>
        <v/>
      </c>
      <c r="E98" t="str">
        <f>IFERROR(VLOOKUP($B98,'Raw Data by WH'!$A$1:$O$999999,6,FALSE),"")</f>
        <v/>
      </c>
      <c r="F98" s="3" t="str">
        <f>IFERROR(VLOOKUP($B98,'Raw Data by WH'!$A$1:$O$999999,7,FALSE),"")</f>
        <v/>
      </c>
      <c r="G98" s="2" t="str">
        <f>IFERROR(VLOOKUP($B98,'Raw Data by WH'!$A$1:$O$999999,8,FALSE),"")</f>
        <v/>
      </c>
      <c r="H98" s="7" t="str">
        <f>IFERROR(VLOOKUP($B98,'Raw Data by WH'!$A$1:$O$999999,9,FALSE),"")</f>
        <v/>
      </c>
      <c r="I98" s="7" t="str">
        <f>IFERROR(VLOOKUP($B98,'Raw Data by WH'!$A$1:$O$999999,10,FALSE),"")</f>
        <v/>
      </c>
    </row>
    <row r="99" spans="1:9" x14ac:dyDescent="0.3">
      <c r="A99">
        <f t="shared" si="2"/>
        <v>90</v>
      </c>
      <c r="B99" t="str">
        <f t="shared" si="3"/>
        <v>1-90</v>
      </c>
      <c r="C99" t="str">
        <f>IFERROR(VLOOKUP($B99,'Raw Data by WH'!$A$1:$O$999999,15,FALSE),"")</f>
        <v/>
      </c>
      <c r="D99" t="str">
        <f>IFERROR(VLOOKUP($B99,'Raw Data by WH'!$A$1:$O$999999,5,FALSE),"")</f>
        <v/>
      </c>
      <c r="E99" t="str">
        <f>IFERROR(VLOOKUP($B99,'Raw Data by WH'!$A$1:$O$999999,6,FALSE),"")</f>
        <v/>
      </c>
      <c r="F99" s="3" t="str">
        <f>IFERROR(VLOOKUP($B99,'Raw Data by WH'!$A$1:$O$999999,7,FALSE),"")</f>
        <v/>
      </c>
      <c r="G99" s="2" t="str">
        <f>IFERROR(VLOOKUP($B99,'Raw Data by WH'!$A$1:$O$999999,8,FALSE),"")</f>
        <v/>
      </c>
      <c r="H99" s="7" t="str">
        <f>IFERROR(VLOOKUP($B99,'Raw Data by WH'!$A$1:$O$999999,9,FALSE),"")</f>
        <v/>
      </c>
      <c r="I99" s="7" t="str">
        <f>IFERROR(VLOOKUP($B99,'Raw Data by WH'!$A$1:$O$999999,10,FALSE),"")</f>
        <v/>
      </c>
    </row>
    <row r="100" spans="1:9" x14ac:dyDescent="0.3">
      <c r="A100">
        <f t="shared" si="2"/>
        <v>91</v>
      </c>
      <c r="B100" t="str">
        <f t="shared" si="3"/>
        <v>1-91</v>
      </c>
      <c r="C100" t="str">
        <f>IFERROR(VLOOKUP($B100,'Raw Data by WH'!$A$1:$O$999999,15,FALSE),"")</f>
        <v/>
      </c>
      <c r="D100" t="str">
        <f>IFERROR(VLOOKUP($B100,'Raw Data by WH'!$A$1:$O$999999,5,FALSE),"")</f>
        <v/>
      </c>
      <c r="E100" t="str">
        <f>IFERROR(VLOOKUP($B100,'Raw Data by WH'!$A$1:$O$999999,6,FALSE),"")</f>
        <v/>
      </c>
      <c r="F100" s="3" t="str">
        <f>IFERROR(VLOOKUP($B100,'Raw Data by WH'!$A$1:$O$999999,7,FALSE),"")</f>
        <v/>
      </c>
      <c r="G100" s="2" t="str">
        <f>IFERROR(VLOOKUP($B100,'Raw Data by WH'!$A$1:$O$999999,8,FALSE),"")</f>
        <v/>
      </c>
      <c r="H100" s="7" t="str">
        <f>IFERROR(VLOOKUP($B100,'Raw Data by WH'!$A$1:$O$999999,9,FALSE),"")</f>
        <v/>
      </c>
      <c r="I100" s="7" t="str">
        <f>IFERROR(VLOOKUP($B100,'Raw Data by WH'!$A$1:$O$999999,10,FALSE),"")</f>
        <v/>
      </c>
    </row>
    <row r="101" spans="1:9" x14ac:dyDescent="0.3">
      <c r="A101">
        <f t="shared" ref="A101:A164" si="4">A100+1</f>
        <v>92</v>
      </c>
      <c r="B101" t="str">
        <f t="shared" si="3"/>
        <v>1-92</v>
      </c>
      <c r="C101" t="str">
        <f>IFERROR(VLOOKUP($B101,'Raw Data by WH'!$A$1:$O$999999,15,FALSE),"")</f>
        <v/>
      </c>
      <c r="D101" t="str">
        <f>IFERROR(VLOOKUP($B101,'Raw Data by WH'!$A$1:$O$999999,5,FALSE),"")</f>
        <v/>
      </c>
      <c r="E101" t="str">
        <f>IFERROR(VLOOKUP($B101,'Raw Data by WH'!$A$1:$O$999999,6,FALSE),"")</f>
        <v/>
      </c>
      <c r="F101" s="3" t="str">
        <f>IFERROR(VLOOKUP($B101,'Raw Data by WH'!$A$1:$O$999999,7,FALSE),"")</f>
        <v/>
      </c>
      <c r="G101" s="2" t="str">
        <f>IFERROR(VLOOKUP($B101,'Raw Data by WH'!$A$1:$O$999999,8,FALSE),"")</f>
        <v/>
      </c>
      <c r="H101" s="7" t="str">
        <f>IFERROR(VLOOKUP($B101,'Raw Data by WH'!$A$1:$O$999999,9,FALSE),"")</f>
        <v/>
      </c>
      <c r="I101" s="7" t="str">
        <f>IFERROR(VLOOKUP($B101,'Raw Data by WH'!$A$1:$O$999999,10,FALSE),"")</f>
        <v/>
      </c>
    </row>
    <row r="102" spans="1:9" x14ac:dyDescent="0.3">
      <c r="A102">
        <f t="shared" si="4"/>
        <v>93</v>
      </c>
      <c r="B102" t="str">
        <f t="shared" si="3"/>
        <v>1-93</v>
      </c>
      <c r="C102" t="str">
        <f>IFERROR(VLOOKUP($B102,'Raw Data by WH'!$A$1:$O$999999,15,FALSE),"")</f>
        <v/>
      </c>
      <c r="D102" t="str">
        <f>IFERROR(VLOOKUP($B102,'Raw Data by WH'!$A$1:$O$999999,5,FALSE),"")</f>
        <v/>
      </c>
      <c r="E102" t="str">
        <f>IFERROR(VLOOKUP($B102,'Raw Data by WH'!$A$1:$O$999999,6,FALSE),"")</f>
        <v/>
      </c>
      <c r="F102" s="3" t="str">
        <f>IFERROR(VLOOKUP($B102,'Raw Data by WH'!$A$1:$O$999999,7,FALSE),"")</f>
        <v/>
      </c>
      <c r="G102" s="2" t="str">
        <f>IFERROR(VLOOKUP($B102,'Raw Data by WH'!$A$1:$O$999999,8,FALSE),"")</f>
        <v/>
      </c>
      <c r="H102" s="7" t="str">
        <f>IFERROR(VLOOKUP($B102,'Raw Data by WH'!$A$1:$O$999999,9,FALSE),"")</f>
        <v/>
      </c>
      <c r="I102" s="7" t="str">
        <f>IFERROR(VLOOKUP($B102,'Raw Data by WH'!$A$1:$O$999999,10,FALSE),"")</f>
        <v/>
      </c>
    </row>
    <row r="103" spans="1:9" x14ac:dyDescent="0.3">
      <c r="A103">
        <f t="shared" si="4"/>
        <v>94</v>
      </c>
      <c r="B103" t="str">
        <f t="shared" si="3"/>
        <v>1-94</v>
      </c>
      <c r="C103" t="str">
        <f>IFERROR(VLOOKUP($B103,'Raw Data by WH'!$A$1:$O$999999,15,FALSE),"")</f>
        <v/>
      </c>
      <c r="D103" t="str">
        <f>IFERROR(VLOOKUP($B103,'Raw Data by WH'!$A$1:$O$999999,5,FALSE),"")</f>
        <v/>
      </c>
      <c r="E103" t="str">
        <f>IFERROR(VLOOKUP($B103,'Raw Data by WH'!$A$1:$O$999999,6,FALSE),"")</f>
        <v/>
      </c>
      <c r="F103" s="3" t="str">
        <f>IFERROR(VLOOKUP($B103,'Raw Data by WH'!$A$1:$O$999999,7,FALSE),"")</f>
        <v/>
      </c>
      <c r="G103" s="2" t="str">
        <f>IFERROR(VLOOKUP($B103,'Raw Data by WH'!$A$1:$O$999999,8,FALSE),"")</f>
        <v/>
      </c>
      <c r="H103" s="7" t="str">
        <f>IFERROR(VLOOKUP($B103,'Raw Data by WH'!$A$1:$O$999999,9,FALSE),"")</f>
        <v/>
      </c>
      <c r="I103" s="7" t="str">
        <f>IFERROR(VLOOKUP($B103,'Raw Data by WH'!$A$1:$O$999999,10,FALSE),"")</f>
        <v/>
      </c>
    </row>
    <row r="104" spans="1:9" x14ac:dyDescent="0.3">
      <c r="A104">
        <f t="shared" si="4"/>
        <v>95</v>
      </c>
      <c r="B104" t="str">
        <f t="shared" si="3"/>
        <v>1-95</v>
      </c>
      <c r="C104" t="str">
        <f>IFERROR(VLOOKUP($B104,'Raw Data by WH'!$A$1:$O$999999,15,FALSE),"")</f>
        <v/>
      </c>
      <c r="D104" t="str">
        <f>IFERROR(VLOOKUP($B104,'Raw Data by WH'!$A$1:$O$999999,5,FALSE),"")</f>
        <v/>
      </c>
      <c r="E104" t="str">
        <f>IFERROR(VLOOKUP($B104,'Raw Data by WH'!$A$1:$O$999999,6,FALSE),"")</f>
        <v/>
      </c>
      <c r="F104" s="3" t="str">
        <f>IFERROR(VLOOKUP($B104,'Raw Data by WH'!$A$1:$O$999999,7,FALSE),"")</f>
        <v/>
      </c>
      <c r="G104" s="2" t="str">
        <f>IFERROR(VLOOKUP($B104,'Raw Data by WH'!$A$1:$O$999999,8,FALSE),"")</f>
        <v/>
      </c>
      <c r="H104" s="7" t="str">
        <f>IFERROR(VLOOKUP($B104,'Raw Data by WH'!$A$1:$O$999999,9,FALSE),"")</f>
        <v/>
      </c>
      <c r="I104" s="7" t="str">
        <f>IFERROR(VLOOKUP($B104,'Raw Data by WH'!$A$1:$O$999999,10,FALSE),"")</f>
        <v/>
      </c>
    </row>
    <row r="105" spans="1:9" x14ac:dyDescent="0.3">
      <c r="A105">
        <f t="shared" si="4"/>
        <v>96</v>
      </c>
      <c r="B105" t="str">
        <f t="shared" si="3"/>
        <v>1-96</v>
      </c>
      <c r="C105" t="str">
        <f>IFERROR(VLOOKUP($B105,'Raw Data by WH'!$A$1:$O$999999,15,FALSE),"")</f>
        <v/>
      </c>
      <c r="D105" t="str">
        <f>IFERROR(VLOOKUP($B105,'Raw Data by WH'!$A$1:$O$999999,5,FALSE),"")</f>
        <v/>
      </c>
      <c r="E105" t="str">
        <f>IFERROR(VLOOKUP($B105,'Raw Data by WH'!$A$1:$O$999999,6,FALSE),"")</f>
        <v/>
      </c>
      <c r="F105" s="3" t="str">
        <f>IFERROR(VLOOKUP($B105,'Raw Data by WH'!$A$1:$O$999999,7,FALSE),"")</f>
        <v/>
      </c>
      <c r="G105" s="2" t="str">
        <f>IFERROR(VLOOKUP($B105,'Raw Data by WH'!$A$1:$O$999999,8,FALSE),"")</f>
        <v/>
      </c>
      <c r="H105" s="7" t="str">
        <f>IFERROR(VLOOKUP($B105,'Raw Data by WH'!$A$1:$O$999999,9,FALSE),"")</f>
        <v/>
      </c>
      <c r="I105" s="7" t="str">
        <f>IFERROR(VLOOKUP($B105,'Raw Data by WH'!$A$1:$O$999999,10,FALSE),"")</f>
        <v/>
      </c>
    </row>
    <row r="106" spans="1:9" x14ac:dyDescent="0.3">
      <c r="A106">
        <f t="shared" si="4"/>
        <v>97</v>
      </c>
      <c r="B106" t="str">
        <f t="shared" si="3"/>
        <v>1-97</v>
      </c>
      <c r="C106" t="str">
        <f>IFERROR(VLOOKUP($B106,'Raw Data by WH'!$A$1:$O$999999,15,FALSE),"")</f>
        <v/>
      </c>
      <c r="D106" t="str">
        <f>IFERROR(VLOOKUP($B106,'Raw Data by WH'!$A$1:$O$999999,5,FALSE),"")</f>
        <v/>
      </c>
      <c r="E106" t="str">
        <f>IFERROR(VLOOKUP($B106,'Raw Data by WH'!$A$1:$O$999999,6,FALSE),"")</f>
        <v/>
      </c>
      <c r="F106" s="3" t="str">
        <f>IFERROR(VLOOKUP($B106,'Raw Data by WH'!$A$1:$O$999999,7,FALSE),"")</f>
        <v/>
      </c>
      <c r="G106" s="2" t="str">
        <f>IFERROR(VLOOKUP($B106,'Raw Data by WH'!$A$1:$O$999999,8,FALSE),"")</f>
        <v/>
      </c>
      <c r="H106" s="7" t="str">
        <f>IFERROR(VLOOKUP($B106,'Raw Data by WH'!$A$1:$O$999999,9,FALSE),"")</f>
        <v/>
      </c>
      <c r="I106" s="7" t="str">
        <f>IFERROR(VLOOKUP($B106,'Raw Data by WH'!$A$1:$O$999999,10,FALSE),"")</f>
        <v/>
      </c>
    </row>
    <row r="107" spans="1:9" x14ac:dyDescent="0.3">
      <c r="A107">
        <f t="shared" si="4"/>
        <v>98</v>
      </c>
      <c r="B107" t="str">
        <f t="shared" si="3"/>
        <v>1-98</v>
      </c>
      <c r="C107" t="str">
        <f>IFERROR(VLOOKUP($B107,'Raw Data by WH'!$A$1:$O$999999,15,FALSE),"")</f>
        <v/>
      </c>
      <c r="D107" t="str">
        <f>IFERROR(VLOOKUP($B107,'Raw Data by WH'!$A$1:$O$999999,5,FALSE),"")</f>
        <v/>
      </c>
      <c r="E107" t="str">
        <f>IFERROR(VLOOKUP($B107,'Raw Data by WH'!$A$1:$O$999999,6,FALSE),"")</f>
        <v/>
      </c>
      <c r="F107" s="3" t="str">
        <f>IFERROR(VLOOKUP($B107,'Raw Data by WH'!$A$1:$O$999999,7,FALSE),"")</f>
        <v/>
      </c>
      <c r="G107" s="2" t="str">
        <f>IFERROR(VLOOKUP($B107,'Raw Data by WH'!$A$1:$O$999999,8,FALSE),"")</f>
        <v/>
      </c>
      <c r="H107" s="7" t="str">
        <f>IFERROR(VLOOKUP($B107,'Raw Data by WH'!$A$1:$O$999999,9,FALSE),"")</f>
        <v/>
      </c>
      <c r="I107" s="7" t="str">
        <f>IFERROR(VLOOKUP($B107,'Raw Data by WH'!$A$1:$O$999999,10,FALSE),"")</f>
        <v/>
      </c>
    </row>
    <row r="108" spans="1:9" x14ac:dyDescent="0.3">
      <c r="A108">
        <f t="shared" si="4"/>
        <v>99</v>
      </c>
      <c r="B108" t="str">
        <f t="shared" si="3"/>
        <v>1-99</v>
      </c>
      <c r="C108" t="str">
        <f>IFERROR(VLOOKUP($B108,'Raw Data by WH'!$A$1:$O$999999,15,FALSE),"")</f>
        <v/>
      </c>
      <c r="D108" t="str">
        <f>IFERROR(VLOOKUP($B108,'Raw Data by WH'!$A$1:$O$999999,5,FALSE),"")</f>
        <v/>
      </c>
      <c r="E108" t="str">
        <f>IFERROR(VLOOKUP($B108,'Raw Data by WH'!$A$1:$O$999999,6,FALSE),"")</f>
        <v/>
      </c>
      <c r="F108" s="3" t="str">
        <f>IFERROR(VLOOKUP($B108,'Raw Data by WH'!$A$1:$O$999999,7,FALSE),"")</f>
        <v/>
      </c>
      <c r="G108" s="2" t="str">
        <f>IFERROR(VLOOKUP($B108,'Raw Data by WH'!$A$1:$O$999999,8,FALSE),"")</f>
        <v/>
      </c>
      <c r="H108" s="7" t="str">
        <f>IFERROR(VLOOKUP($B108,'Raw Data by WH'!$A$1:$O$999999,9,FALSE),"")</f>
        <v/>
      </c>
      <c r="I108" s="7" t="str">
        <f>IFERROR(VLOOKUP($B108,'Raw Data by WH'!$A$1:$O$999999,10,FALSE),"")</f>
        <v/>
      </c>
    </row>
    <row r="109" spans="1:9" x14ac:dyDescent="0.3">
      <c r="A109">
        <f t="shared" si="4"/>
        <v>100</v>
      </c>
      <c r="B109" t="str">
        <f t="shared" si="3"/>
        <v>1-100</v>
      </c>
      <c r="C109" t="str">
        <f>IFERROR(VLOOKUP($B109,'Raw Data by WH'!$A$1:$O$999999,15,FALSE),"")</f>
        <v/>
      </c>
      <c r="D109" t="str">
        <f>IFERROR(VLOOKUP($B109,'Raw Data by WH'!$A$1:$O$999999,5,FALSE),"")</f>
        <v/>
      </c>
      <c r="E109" t="str">
        <f>IFERROR(VLOOKUP($B109,'Raw Data by WH'!$A$1:$O$999999,6,FALSE),"")</f>
        <v/>
      </c>
      <c r="F109" s="3" t="str">
        <f>IFERROR(VLOOKUP($B109,'Raw Data by WH'!$A$1:$O$999999,7,FALSE),"")</f>
        <v/>
      </c>
      <c r="G109" s="2" t="str">
        <f>IFERROR(VLOOKUP($B109,'Raw Data by WH'!$A$1:$O$999999,8,FALSE),"")</f>
        <v/>
      </c>
      <c r="H109" s="7" t="str">
        <f>IFERROR(VLOOKUP($B109,'Raw Data by WH'!$A$1:$O$999999,9,FALSE),"")</f>
        <v/>
      </c>
      <c r="I109" s="7" t="str">
        <f>IFERROR(VLOOKUP($B109,'Raw Data by WH'!$A$1:$O$999999,10,FALSE),"")</f>
        <v/>
      </c>
    </row>
    <row r="110" spans="1:9" x14ac:dyDescent="0.3">
      <c r="A110">
        <f t="shared" si="4"/>
        <v>101</v>
      </c>
      <c r="B110" t="str">
        <f t="shared" si="3"/>
        <v>1-101</v>
      </c>
      <c r="C110" t="str">
        <f>IFERROR(VLOOKUP($B110,'Raw Data by WH'!$A$1:$O$999999,15,FALSE),"")</f>
        <v/>
      </c>
      <c r="D110" t="str">
        <f>IFERROR(VLOOKUP($B110,'Raw Data by WH'!$A$1:$O$999999,5,FALSE),"")</f>
        <v/>
      </c>
      <c r="E110" t="str">
        <f>IFERROR(VLOOKUP($B110,'Raw Data by WH'!$A$1:$O$999999,6,FALSE),"")</f>
        <v/>
      </c>
      <c r="F110" s="3" t="str">
        <f>IFERROR(VLOOKUP($B110,'Raw Data by WH'!$A$1:$O$999999,7,FALSE),"")</f>
        <v/>
      </c>
      <c r="G110" s="2" t="str">
        <f>IFERROR(VLOOKUP($B110,'Raw Data by WH'!$A$1:$O$999999,8,FALSE),"")</f>
        <v/>
      </c>
      <c r="H110" s="7" t="str">
        <f>IFERROR(VLOOKUP($B110,'Raw Data by WH'!$A$1:$O$999999,9,FALSE),"")</f>
        <v/>
      </c>
      <c r="I110" s="7" t="str">
        <f>IFERROR(VLOOKUP($B110,'Raw Data by WH'!$A$1:$O$999999,10,FALSE),"")</f>
        <v/>
      </c>
    </row>
    <row r="111" spans="1:9" x14ac:dyDescent="0.3">
      <c r="A111">
        <f t="shared" si="4"/>
        <v>102</v>
      </c>
      <c r="B111" t="str">
        <f t="shared" si="3"/>
        <v>1-102</v>
      </c>
      <c r="C111" t="str">
        <f>IFERROR(VLOOKUP($B111,'Raw Data by WH'!$A$1:$O$999999,15,FALSE),"")</f>
        <v/>
      </c>
      <c r="D111" t="str">
        <f>IFERROR(VLOOKUP($B111,'Raw Data by WH'!$A$1:$O$999999,5,FALSE),"")</f>
        <v/>
      </c>
      <c r="E111" t="str">
        <f>IFERROR(VLOOKUP($B111,'Raw Data by WH'!$A$1:$O$999999,6,FALSE),"")</f>
        <v/>
      </c>
      <c r="F111" s="3" t="str">
        <f>IFERROR(VLOOKUP($B111,'Raw Data by WH'!$A$1:$O$999999,7,FALSE),"")</f>
        <v/>
      </c>
      <c r="G111" s="2" t="str">
        <f>IFERROR(VLOOKUP($B111,'Raw Data by WH'!$A$1:$O$999999,8,FALSE),"")</f>
        <v/>
      </c>
      <c r="H111" s="7" t="str">
        <f>IFERROR(VLOOKUP($B111,'Raw Data by WH'!$A$1:$O$999999,9,FALSE),"")</f>
        <v/>
      </c>
      <c r="I111" s="7" t="str">
        <f>IFERROR(VLOOKUP($B111,'Raw Data by WH'!$A$1:$O$999999,10,FALSE),"")</f>
        <v/>
      </c>
    </row>
    <row r="112" spans="1:9" x14ac:dyDescent="0.3">
      <c r="A112">
        <f t="shared" si="4"/>
        <v>103</v>
      </c>
      <c r="B112" t="str">
        <f t="shared" si="3"/>
        <v>1-103</v>
      </c>
      <c r="C112" t="str">
        <f>IFERROR(VLOOKUP($B112,'Raw Data by WH'!$A$1:$O$999999,15,FALSE),"")</f>
        <v/>
      </c>
      <c r="D112" t="str">
        <f>IFERROR(VLOOKUP($B112,'Raw Data by WH'!$A$1:$O$999999,5,FALSE),"")</f>
        <v/>
      </c>
      <c r="E112" t="str">
        <f>IFERROR(VLOOKUP($B112,'Raw Data by WH'!$A$1:$O$999999,6,FALSE),"")</f>
        <v/>
      </c>
      <c r="F112" s="3" t="str">
        <f>IFERROR(VLOOKUP($B112,'Raw Data by WH'!$A$1:$O$999999,7,FALSE),"")</f>
        <v/>
      </c>
      <c r="G112" s="2" t="str">
        <f>IFERROR(VLOOKUP($B112,'Raw Data by WH'!$A$1:$O$999999,8,FALSE),"")</f>
        <v/>
      </c>
      <c r="H112" s="7" t="str">
        <f>IFERROR(VLOOKUP($B112,'Raw Data by WH'!$A$1:$O$999999,9,FALSE),"")</f>
        <v/>
      </c>
      <c r="I112" s="7" t="str">
        <f>IFERROR(VLOOKUP($B112,'Raw Data by WH'!$A$1:$O$999999,10,FALSE),"")</f>
        <v/>
      </c>
    </row>
    <row r="113" spans="1:9" x14ac:dyDescent="0.3">
      <c r="A113">
        <f t="shared" si="4"/>
        <v>104</v>
      </c>
      <c r="B113" t="str">
        <f t="shared" si="3"/>
        <v>1-104</v>
      </c>
      <c r="C113" t="str">
        <f>IFERROR(VLOOKUP($B113,'Raw Data by WH'!$A$1:$O$999999,15,FALSE),"")</f>
        <v/>
      </c>
      <c r="D113" t="str">
        <f>IFERROR(VLOOKUP($B113,'Raw Data by WH'!$A$1:$O$999999,5,FALSE),"")</f>
        <v/>
      </c>
      <c r="E113" t="str">
        <f>IFERROR(VLOOKUP($B113,'Raw Data by WH'!$A$1:$O$999999,6,FALSE),"")</f>
        <v/>
      </c>
      <c r="F113" s="3" t="str">
        <f>IFERROR(VLOOKUP($B113,'Raw Data by WH'!$A$1:$O$999999,7,FALSE),"")</f>
        <v/>
      </c>
      <c r="G113" s="2" t="str">
        <f>IFERROR(VLOOKUP($B113,'Raw Data by WH'!$A$1:$O$999999,8,FALSE),"")</f>
        <v/>
      </c>
      <c r="H113" s="7" t="str">
        <f>IFERROR(VLOOKUP($B113,'Raw Data by WH'!$A$1:$O$999999,9,FALSE),"")</f>
        <v/>
      </c>
      <c r="I113" s="7" t="str">
        <f>IFERROR(VLOOKUP($B113,'Raw Data by WH'!$A$1:$O$999999,10,FALSE),"")</f>
        <v/>
      </c>
    </row>
    <row r="114" spans="1:9" x14ac:dyDescent="0.3">
      <c r="A114">
        <f t="shared" si="4"/>
        <v>105</v>
      </c>
      <c r="B114" t="str">
        <f t="shared" si="3"/>
        <v>1-105</v>
      </c>
      <c r="C114" t="str">
        <f>IFERROR(VLOOKUP($B114,'Raw Data by WH'!$A$1:$O$999999,15,FALSE),"")</f>
        <v/>
      </c>
      <c r="D114" t="str">
        <f>IFERROR(VLOOKUP($B114,'Raw Data by WH'!$A$1:$O$999999,5,FALSE),"")</f>
        <v/>
      </c>
      <c r="E114" t="str">
        <f>IFERROR(VLOOKUP($B114,'Raw Data by WH'!$A$1:$O$999999,6,FALSE),"")</f>
        <v/>
      </c>
      <c r="F114" s="3" t="str">
        <f>IFERROR(VLOOKUP($B114,'Raw Data by WH'!$A$1:$O$999999,7,FALSE),"")</f>
        <v/>
      </c>
      <c r="G114" s="2" t="str">
        <f>IFERROR(VLOOKUP($B114,'Raw Data by WH'!$A$1:$O$999999,8,FALSE),"")</f>
        <v/>
      </c>
      <c r="H114" s="7" t="str">
        <f>IFERROR(VLOOKUP($B114,'Raw Data by WH'!$A$1:$O$999999,9,FALSE),"")</f>
        <v/>
      </c>
      <c r="I114" s="7" t="str">
        <f>IFERROR(VLOOKUP($B114,'Raw Data by WH'!$A$1:$O$999999,10,FALSE),"")</f>
        <v/>
      </c>
    </row>
    <row r="115" spans="1:9" x14ac:dyDescent="0.3">
      <c r="A115">
        <f t="shared" si="4"/>
        <v>106</v>
      </c>
      <c r="B115" t="str">
        <f t="shared" si="3"/>
        <v>1-106</v>
      </c>
      <c r="C115" t="str">
        <f>IFERROR(VLOOKUP($B115,'Raw Data by WH'!$A$1:$O$999999,15,FALSE),"")</f>
        <v/>
      </c>
      <c r="D115" t="str">
        <f>IFERROR(VLOOKUP($B115,'Raw Data by WH'!$A$1:$O$999999,5,FALSE),"")</f>
        <v/>
      </c>
      <c r="E115" t="str">
        <f>IFERROR(VLOOKUP($B115,'Raw Data by WH'!$A$1:$O$999999,6,FALSE),"")</f>
        <v/>
      </c>
      <c r="F115" s="3" t="str">
        <f>IFERROR(VLOOKUP($B115,'Raw Data by WH'!$A$1:$O$999999,7,FALSE),"")</f>
        <v/>
      </c>
      <c r="G115" s="2" t="str">
        <f>IFERROR(VLOOKUP($B115,'Raw Data by WH'!$A$1:$O$999999,8,FALSE),"")</f>
        <v/>
      </c>
      <c r="H115" s="7" t="str">
        <f>IFERROR(VLOOKUP($B115,'Raw Data by WH'!$A$1:$O$999999,9,FALSE),"")</f>
        <v/>
      </c>
      <c r="I115" s="7" t="str">
        <f>IFERROR(VLOOKUP($B115,'Raw Data by WH'!$A$1:$O$999999,10,FALSE),"")</f>
        <v/>
      </c>
    </row>
    <row r="116" spans="1:9" x14ac:dyDescent="0.3">
      <c r="A116">
        <f t="shared" si="4"/>
        <v>107</v>
      </c>
      <c r="B116" t="str">
        <f t="shared" si="3"/>
        <v>1-107</v>
      </c>
      <c r="C116" t="str">
        <f>IFERROR(VLOOKUP($B116,'Raw Data by WH'!$A$1:$O$999999,15,FALSE),"")</f>
        <v/>
      </c>
      <c r="D116" t="str">
        <f>IFERROR(VLOOKUP($B116,'Raw Data by WH'!$A$1:$O$999999,5,FALSE),"")</f>
        <v/>
      </c>
      <c r="E116" t="str">
        <f>IFERROR(VLOOKUP($B116,'Raw Data by WH'!$A$1:$O$999999,6,FALSE),"")</f>
        <v/>
      </c>
      <c r="F116" s="3" t="str">
        <f>IFERROR(VLOOKUP($B116,'Raw Data by WH'!$A$1:$O$999999,7,FALSE),"")</f>
        <v/>
      </c>
      <c r="G116" s="2" t="str">
        <f>IFERROR(VLOOKUP($B116,'Raw Data by WH'!$A$1:$O$999999,8,FALSE),"")</f>
        <v/>
      </c>
      <c r="H116" s="7" t="str">
        <f>IFERROR(VLOOKUP($B116,'Raw Data by WH'!$A$1:$O$999999,9,FALSE),"")</f>
        <v/>
      </c>
      <c r="I116" s="7" t="str">
        <f>IFERROR(VLOOKUP($B116,'Raw Data by WH'!$A$1:$O$999999,10,FALSE),"")</f>
        <v/>
      </c>
    </row>
    <row r="117" spans="1:9" x14ac:dyDescent="0.3">
      <c r="A117">
        <f t="shared" si="4"/>
        <v>108</v>
      </c>
      <c r="B117" t="str">
        <f t="shared" si="3"/>
        <v>1-108</v>
      </c>
      <c r="C117" t="str">
        <f>IFERROR(VLOOKUP($B117,'Raw Data by WH'!$A$1:$O$999999,15,FALSE),"")</f>
        <v/>
      </c>
      <c r="D117" t="str">
        <f>IFERROR(VLOOKUP($B117,'Raw Data by WH'!$A$1:$O$999999,5,FALSE),"")</f>
        <v/>
      </c>
      <c r="E117" t="str">
        <f>IFERROR(VLOOKUP($B117,'Raw Data by WH'!$A$1:$O$999999,6,FALSE),"")</f>
        <v/>
      </c>
      <c r="F117" s="3" t="str">
        <f>IFERROR(VLOOKUP($B117,'Raw Data by WH'!$A$1:$O$999999,7,FALSE),"")</f>
        <v/>
      </c>
      <c r="G117" s="2" t="str">
        <f>IFERROR(VLOOKUP($B117,'Raw Data by WH'!$A$1:$O$999999,8,FALSE),"")</f>
        <v/>
      </c>
      <c r="H117" s="7" t="str">
        <f>IFERROR(VLOOKUP($B117,'Raw Data by WH'!$A$1:$O$999999,9,FALSE),"")</f>
        <v/>
      </c>
      <c r="I117" s="7" t="str">
        <f>IFERROR(VLOOKUP($B117,'Raw Data by WH'!$A$1:$O$999999,10,FALSE),"")</f>
        <v/>
      </c>
    </row>
    <row r="118" spans="1:9" x14ac:dyDescent="0.3">
      <c r="A118">
        <f t="shared" si="4"/>
        <v>109</v>
      </c>
      <c r="B118" t="str">
        <f t="shared" si="3"/>
        <v>1-109</v>
      </c>
      <c r="C118" t="str">
        <f>IFERROR(VLOOKUP($B118,'Raw Data by WH'!$A$1:$O$999999,15,FALSE),"")</f>
        <v/>
      </c>
      <c r="D118" t="str">
        <f>IFERROR(VLOOKUP($B118,'Raw Data by WH'!$A$1:$O$999999,5,FALSE),"")</f>
        <v/>
      </c>
      <c r="E118" t="str">
        <f>IFERROR(VLOOKUP($B118,'Raw Data by WH'!$A$1:$O$999999,6,FALSE),"")</f>
        <v/>
      </c>
      <c r="F118" s="3" t="str">
        <f>IFERROR(VLOOKUP($B118,'Raw Data by WH'!$A$1:$O$999999,7,FALSE),"")</f>
        <v/>
      </c>
      <c r="G118" s="2" t="str">
        <f>IFERROR(VLOOKUP($B118,'Raw Data by WH'!$A$1:$O$999999,8,FALSE),"")</f>
        <v/>
      </c>
      <c r="H118" s="7" t="str">
        <f>IFERROR(VLOOKUP($B118,'Raw Data by WH'!$A$1:$O$999999,9,FALSE),"")</f>
        <v/>
      </c>
      <c r="I118" s="7" t="str">
        <f>IFERROR(VLOOKUP($B118,'Raw Data by WH'!$A$1:$O$999999,10,FALSE),"")</f>
        <v/>
      </c>
    </row>
    <row r="119" spans="1:9" x14ac:dyDescent="0.3">
      <c r="A119">
        <f t="shared" si="4"/>
        <v>110</v>
      </c>
      <c r="B119" t="str">
        <f t="shared" ref="B119:B182" si="5">$D$1&amp;"-"&amp;A119</f>
        <v>1-110</v>
      </c>
      <c r="C119" t="str">
        <f>IFERROR(VLOOKUP($B119,'Raw Data by WH'!$A$1:$O$999999,15,FALSE),"")</f>
        <v/>
      </c>
      <c r="D119" t="str">
        <f>IFERROR(VLOOKUP($B119,'Raw Data by WH'!$A$1:$O$999999,5,FALSE),"")</f>
        <v/>
      </c>
      <c r="E119" t="str">
        <f>IFERROR(VLOOKUP($B119,'Raw Data by WH'!$A$1:$O$999999,6,FALSE),"")</f>
        <v/>
      </c>
      <c r="F119" s="3" t="str">
        <f>IFERROR(VLOOKUP($B119,'Raw Data by WH'!$A$1:$O$999999,7,FALSE),"")</f>
        <v/>
      </c>
      <c r="G119" s="2" t="str">
        <f>IFERROR(VLOOKUP($B119,'Raw Data by WH'!$A$1:$O$999999,8,FALSE),"")</f>
        <v/>
      </c>
      <c r="H119" s="7" t="str">
        <f>IFERROR(VLOOKUP($B119,'Raw Data by WH'!$A$1:$O$999999,9,FALSE),"")</f>
        <v/>
      </c>
      <c r="I119" s="7" t="str">
        <f>IFERROR(VLOOKUP($B119,'Raw Data by WH'!$A$1:$O$999999,10,FALSE),"")</f>
        <v/>
      </c>
    </row>
    <row r="120" spans="1:9" x14ac:dyDescent="0.3">
      <c r="A120">
        <f t="shared" si="4"/>
        <v>111</v>
      </c>
      <c r="B120" t="str">
        <f t="shared" si="5"/>
        <v>1-111</v>
      </c>
      <c r="C120" t="str">
        <f>IFERROR(VLOOKUP($B120,'Raw Data by WH'!$A$1:$O$999999,15,FALSE),"")</f>
        <v/>
      </c>
      <c r="D120" t="str">
        <f>IFERROR(VLOOKUP($B120,'Raw Data by WH'!$A$1:$O$999999,5,FALSE),"")</f>
        <v/>
      </c>
      <c r="E120" t="str">
        <f>IFERROR(VLOOKUP($B120,'Raw Data by WH'!$A$1:$O$999999,6,FALSE),"")</f>
        <v/>
      </c>
      <c r="F120" s="3" t="str">
        <f>IFERROR(VLOOKUP($B120,'Raw Data by WH'!$A$1:$O$999999,7,FALSE),"")</f>
        <v/>
      </c>
      <c r="G120" s="2" t="str">
        <f>IFERROR(VLOOKUP($B120,'Raw Data by WH'!$A$1:$O$999999,8,FALSE),"")</f>
        <v/>
      </c>
      <c r="H120" s="7" t="str">
        <f>IFERROR(VLOOKUP($B120,'Raw Data by WH'!$A$1:$O$999999,9,FALSE),"")</f>
        <v/>
      </c>
      <c r="I120" s="7" t="str">
        <f>IFERROR(VLOOKUP($B120,'Raw Data by WH'!$A$1:$O$999999,10,FALSE),"")</f>
        <v/>
      </c>
    </row>
    <row r="121" spans="1:9" x14ac:dyDescent="0.3">
      <c r="A121">
        <f t="shared" si="4"/>
        <v>112</v>
      </c>
      <c r="B121" t="str">
        <f t="shared" si="5"/>
        <v>1-112</v>
      </c>
      <c r="C121" t="str">
        <f>IFERROR(VLOOKUP($B121,'Raw Data by WH'!$A$1:$O$999999,15,FALSE),"")</f>
        <v/>
      </c>
      <c r="D121" t="str">
        <f>IFERROR(VLOOKUP($B121,'Raw Data by WH'!$A$1:$O$999999,5,FALSE),"")</f>
        <v/>
      </c>
      <c r="E121" t="str">
        <f>IFERROR(VLOOKUP($B121,'Raw Data by WH'!$A$1:$O$999999,6,FALSE),"")</f>
        <v/>
      </c>
      <c r="F121" s="3" t="str">
        <f>IFERROR(VLOOKUP($B121,'Raw Data by WH'!$A$1:$O$999999,7,FALSE),"")</f>
        <v/>
      </c>
      <c r="G121" s="2" t="str">
        <f>IFERROR(VLOOKUP($B121,'Raw Data by WH'!$A$1:$O$999999,8,FALSE),"")</f>
        <v/>
      </c>
      <c r="H121" s="7" t="str">
        <f>IFERROR(VLOOKUP($B121,'Raw Data by WH'!$A$1:$O$999999,9,FALSE),"")</f>
        <v/>
      </c>
      <c r="I121" s="7" t="str">
        <f>IFERROR(VLOOKUP($B121,'Raw Data by WH'!$A$1:$O$999999,10,FALSE),"")</f>
        <v/>
      </c>
    </row>
    <row r="122" spans="1:9" x14ac:dyDescent="0.3">
      <c r="A122">
        <f t="shared" si="4"/>
        <v>113</v>
      </c>
      <c r="B122" t="str">
        <f t="shared" si="5"/>
        <v>1-113</v>
      </c>
      <c r="C122" t="str">
        <f>IFERROR(VLOOKUP($B122,'Raw Data by WH'!$A$1:$O$999999,15,FALSE),"")</f>
        <v/>
      </c>
      <c r="D122" t="str">
        <f>IFERROR(VLOOKUP($B122,'Raw Data by WH'!$A$1:$O$999999,5,FALSE),"")</f>
        <v/>
      </c>
      <c r="E122" t="str">
        <f>IFERROR(VLOOKUP($B122,'Raw Data by WH'!$A$1:$O$999999,6,FALSE),"")</f>
        <v/>
      </c>
      <c r="F122" s="3" t="str">
        <f>IFERROR(VLOOKUP($B122,'Raw Data by WH'!$A$1:$O$999999,7,FALSE),"")</f>
        <v/>
      </c>
      <c r="G122" s="2" t="str">
        <f>IFERROR(VLOOKUP($B122,'Raw Data by WH'!$A$1:$O$999999,8,FALSE),"")</f>
        <v/>
      </c>
      <c r="H122" s="7" t="str">
        <f>IFERROR(VLOOKUP($B122,'Raw Data by WH'!$A$1:$O$999999,9,FALSE),"")</f>
        <v/>
      </c>
      <c r="I122" s="7" t="str">
        <f>IFERROR(VLOOKUP($B122,'Raw Data by WH'!$A$1:$O$999999,10,FALSE),"")</f>
        <v/>
      </c>
    </row>
    <row r="123" spans="1:9" x14ac:dyDescent="0.3">
      <c r="A123">
        <f t="shared" si="4"/>
        <v>114</v>
      </c>
      <c r="B123" t="str">
        <f t="shared" si="5"/>
        <v>1-114</v>
      </c>
      <c r="C123" t="str">
        <f>IFERROR(VLOOKUP($B123,'Raw Data by WH'!$A$1:$O$999999,15,FALSE),"")</f>
        <v/>
      </c>
      <c r="D123" t="str">
        <f>IFERROR(VLOOKUP($B123,'Raw Data by WH'!$A$1:$O$999999,5,FALSE),"")</f>
        <v/>
      </c>
      <c r="E123" t="str">
        <f>IFERROR(VLOOKUP($B123,'Raw Data by WH'!$A$1:$O$999999,6,FALSE),"")</f>
        <v/>
      </c>
      <c r="F123" s="3" t="str">
        <f>IFERROR(VLOOKUP($B123,'Raw Data by WH'!$A$1:$O$999999,7,FALSE),"")</f>
        <v/>
      </c>
      <c r="G123" s="2" t="str">
        <f>IFERROR(VLOOKUP($B123,'Raw Data by WH'!$A$1:$O$999999,8,FALSE),"")</f>
        <v/>
      </c>
      <c r="H123" s="7" t="str">
        <f>IFERROR(VLOOKUP($B123,'Raw Data by WH'!$A$1:$O$999999,9,FALSE),"")</f>
        <v/>
      </c>
      <c r="I123" s="7" t="str">
        <f>IFERROR(VLOOKUP($B123,'Raw Data by WH'!$A$1:$O$999999,10,FALSE),"")</f>
        <v/>
      </c>
    </row>
    <row r="124" spans="1:9" x14ac:dyDescent="0.3">
      <c r="A124">
        <f t="shared" si="4"/>
        <v>115</v>
      </c>
      <c r="B124" t="str">
        <f t="shared" si="5"/>
        <v>1-115</v>
      </c>
      <c r="C124" t="str">
        <f>IFERROR(VLOOKUP($B124,'Raw Data by WH'!$A$1:$O$999999,15,FALSE),"")</f>
        <v/>
      </c>
      <c r="D124" t="str">
        <f>IFERROR(VLOOKUP($B124,'Raw Data by WH'!$A$1:$O$999999,5,FALSE),"")</f>
        <v/>
      </c>
      <c r="E124" t="str">
        <f>IFERROR(VLOOKUP($B124,'Raw Data by WH'!$A$1:$O$999999,6,FALSE),"")</f>
        <v/>
      </c>
      <c r="F124" s="3" t="str">
        <f>IFERROR(VLOOKUP($B124,'Raw Data by WH'!$A$1:$O$999999,7,FALSE),"")</f>
        <v/>
      </c>
      <c r="G124" s="2" t="str">
        <f>IFERROR(VLOOKUP($B124,'Raw Data by WH'!$A$1:$O$999999,8,FALSE),"")</f>
        <v/>
      </c>
      <c r="H124" s="7" t="str">
        <f>IFERROR(VLOOKUP($B124,'Raw Data by WH'!$A$1:$O$999999,9,FALSE),"")</f>
        <v/>
      </c>
      <c r="I124" s="7" t="str">
        <f>IFERROR(VLOOKUP($B124,'Raw Data by WH'!$A$1:$O$999999,10,FALSE),"")</f>
        <v/>
      </c>
    </row>
    <row r="125" spans="1:9" x14ac:dyDescent="0.3">
      <c r="A125">
        <f t="shared" si="4"/>
        <v>116</v>
      </c>
      <c r="B125" t="str">
        <f t="shared" si="5"/>
        <v>1-116</v>
      </c>
      <c r="C125" t="str">
        <f>IFERROR(VLOOKUP($B125,'Raw Data by WH'!$A$1:$O$999999,15,FALSE),"")</f>
        <v/>
      </c>
      <c r="D125" t="str">
        <f>IFERROR(VLOOKUP($B125,'Raw Data by WH'!$A$1:$O$999999,5,FALSE),"")</f>
        <v/>
      </c>
      <c r="E125" t="str">
        <f>IFERROR(VLOOKUP($B125,'Raw Data by WH'!$A$1:$O$999999,6,FALSE),"")</f>
        <v/>
      </c>
      <c r="F125" s="3" t="str">
        <f>IFERROR(VLOOKUP($B125,'Raw Data by WH'!$A$1:$O$999999,7,FALSE),"")</f>
        <v/>
      </c>
      <c r="G125" s="2" t="str">
        <f>IFERROR(VLOOKUP($B125,'Raw Data by WH'!$A$1:$O$999999,8,FALSE),"")</f>
        <v/>
      </c>
      <c r="H125" s="7" t="str">
        <f>IFERROR(VLOOKUP($B125,'Raw Data by WH'!$A$1:$O$999999,9,FALSE),"")</f>
        <v/>
      </c>
      <c r="I125" s="7" t="str">
        <f>IFERROR(VLOOKUP($B125,'Raw Data by WH'!$A$1:$O$999999,10,FALSE),"")</f>
        <v/>
      </c>
    </row>
    <row r="126" spans="1:9" x14ac:dyDescent="0.3">
      <c r="A126">
        <f t="shared" si="4"/>
        <v>117</v>
      </c>
      <c r="B126" t="str">
        <f t="shared" si="5"/>
        <v>1-117</v>
      </c>
      <c r="C126" t="str">
        <f>IFERROR(VLOOKUP($B126,'Raw Data by WH'!$A$1:$O$999999,15,FALSE),"")</f>
        <v/>
      </c>
      <c r="D126" t="str">
        <f>IFERROR(VLOOKUP($B126,'Raw Data by WH'!$A$1:$O$999999,5,FALSE),"")</f>
        <v/>
      </c>
      <c r="E126" t="str">
        <f>IFERROR(VLOOKUP($B126,'Raw Data by WH'!$A$1:$O$999999,6,FALSE),"")</f>
        <v/>
      </c>
      <c r="F126" s="3" t="str">
        <f>IFERROR(VLOOKUP($B126,'Raw Data by WH'!$A$1:$O$999999,7,FALSE),"")</f>
        <v/>
      </c>
      <c r="G126" s="2" t="str">
        <f>IFERROR(VLOOKUP($B126,'Raw Data by WH'!$A$1:$O$999999,8,FALSE),"")</f>
        <v/>
      </c>
      <c r="H126" s="7" t="str">
        <f>IFERROR(VLOOKUP($B126,'Raw Data by WH'!$A$1:$O$999999,9,FALSE),"")</f>
        <v/>
      </c>
      <c r="I126" s="7" t="str">
        <f>IFERROR(VLOOKUP($B126,'Raw Data by WH'!$A$1:$O$999999,10,FALSE),"")</f>
        <v/>
      </c>
    </row>
    <row r="127" spans="1:9" x14ac:dyDescent="0.3">
      <c r="A127">
        <f t="shared" si="4"/>
        <v>118</v>
      </c>
      <c r="B127" t="str">
        <f t="shared" si="5"/>
        <v>1-118</v>
      </c>
      <c r="C127" t="str">
        <f>IFERROR(VLOOKUP($B127,'Raw Data by WH'!$A$1:$O$999999,15,FALSE),"")</f>
        <v/>
      </c>
      <c r="D127" t="str">
        <f>IFERROR(VLOOKUP($B127,'Raw Data by WH'!$A$1:$O$999999,5,FALSE),"")</f>
        <v/>
      </c>
      <c r="E127" t="str">
        <f>IFERROR(VLOOKUP($B127,'Raw Data by WH'!$A$1:$O$999999,6,FALSE),"")</f>
        <v/>
      </c>
      <c r="F127" s="3" t="str">
        <f>IFERROR(VLOOKUP($B127,'Raw Data by WH'!$A$1:$O$999999,7,FALSE),"")</f>
        <v/>
      </c>
      <c r="G127" s="2" t="str">
        <f>IFERROR(VLOOKUP($B127,'Raw Data by WH'!$A$1:$O$999999,8,FALSE),"")</f>
        <v/>
      </c>
      <c r="H127" s="7" t="str">
        <f>IFERROR(VLOOKUP($B127,'Raw Data by WH'!$A$1:$O$999999,9,FALSE),"")</f>
        <v/>
      </c>
      <c r="I127" s="7" t="str">
        <f>IFERROR(VLOOKUP($B127,'Raw Data by WH'!$A$1:$O$999999,10,FALSE),"")</f>
        <v/>
      </c>
    </row>
    <row r="128" spans="1:9" x14ac:dyDescent="0.3">
      <c r="A128">
        <f t="shared" si="4"/>
        <v>119</v>
      </c>
      <c r="B128" t="str">
        <f t="shared" si="5"/>
        <v>1-119</v>
      </c>
      <c r="C128" t="str">
        <f>IFERROR(VLOOKUP($B128,'Raw Data by WH'!$A$1:$O$999999,15,FALSE),"")</f>
        <v/>
      </c>
      <c r="D128" t="str">
        <f>IFERROR(VLOOKUP($B128,'Raw Data by WH'!$A$1:$O$999999,5,FALSE),"")</f>
        <v/>
      </c>
      <c r="E128" t="str">
        <f>IFERROR(VLOOKUP($B128,'Raw Data by WH'!$A$1:$O$999999,6,FALSE),"")</f>
        <v/>
      </c>
      <c r="F128" s="3" t="str">
        <f>IFERROR(VLOOKUP($B128,'Raw Data by WH'!$A$1:$O$999999,7,FALSE),"")</f>
        <v/>
      </c>
      <c r="G128" s="2" t="str">
        <f>IFERROR(VLOOKUP($B128,'Raw Data by WH'!$A$1:$O$999999,8,FALSE),"")</f>
        <v/>
      </c>
      <c r="H128" s="7" t="str">
        <f>IFERROR(VLOOKUP($B128,'Raw Data by WH'!$A$1:$O$999999,9,FALSE),"")</f>
        <v/>
      </c>
      <c r="I128" s="7" t="str">
        <f>IFERROR(VLOOKUP($B128,'Raw Data by WH'!$A$1:$O$999999,10,FALSE),"")</f>
        <v/>
      </c>
    </row>
    <row r="129" spans="1:9" x14ac:dyDescent="0.3">
      <c r="A129">
        <f t="shared" si="4"/>
        <v>120</v>
      </c>
      <c r="B129" t="str">
        <f t="shared" si="5"/>
        <v>1-120</v>
      </c>
      <c r="C129" t="str">
        <f>IFERROR(VLOOKUP($B129,'Raw Data by WH'!$A$1:$O$999999,15,FALSE),"")</f>
        <v/>
      </c>
      <c r="D129" t="str">
        <f>IFERROR(VLOOKUP($B129,'Raw Data by WH'!$A$1:$O$999999,5,FALSE),"")</f>
        <v/>
      </c>
      <c r="E129" t="str">
        <f>IFERROR(VLOOKUP($B129,'Raw Data by WH'!$A$1:$O$999999,6,FALSE),"")</f>
        <v/>
      </c>
      <c r="F129" s="3" t="str">
        <f>IFERROR(VLOOKUP($B129,'Raw Data by WH'!$A$1:$O$999999,7,FALSE),"")</f>
        <v/>
      </c>
      <c r="G129" s="2" t="str">
        <f>IFERROR(VLOOKUP($B129,'Raw Data by WH'!$A$1:$O$999999,8,FALSE),"")</f>
        <v/>
      </c>
      <c r="H129" s="7" t="str">
        <f>IFERROR(VLOOKUP($B129,'Raw Data by WH'!$A$1:$O$999999,9,FALSE),"")</f>
        <v/>
      </c>
      <c r="I129" s="7" t="str">
        <f>IFERROR(VLOOKUP($B129,'Raw Data by WH'!$A$1:$O$999999,10,FALSE),"")</f>
        <v/>
      </c>
    </row>
    <row r="130" spans="1:9" x14ac:dyDescent="0.3">
      <c r="A130">
        <f t="shared" si="4"/>
        <v>121</v>
      </c>
      <c r="B130" t="str">
        <f t="shared" si="5"/>
        <v>1-121</v>
      </c>
      <c r="C130" t="str">
        <f>IFERROR(VLOOKUP($B130,'Raw Data by WH'!$A$1:$O$999999,15,FALSE),"")</f>
        <v/>
      </c>
      <c r="D130" t="str">
        <f>IFERROR(VLOOKUP($B130,'Raw Data by WH'!$A$1:$O$999999,5,FALSE),"")</f>
        <v/>
      </c>
      <c r="E130" t="str">
        <f>IFERROR(VLOOKUP($B130,'Raw Data by WH'!$A$1:$O$999999,6,FALSE),"")</f>
        <v/>
      </c>
      <c r="F130" s="3" t="str">
        <f>IFERROR(VLOOKUP($B130,'Raw Data by WH'!$A$1:$O$999999,7,FALSE),"")</f>
        <v/>
      </c>
      <c r="G130" s="2" t="str">
        <f>IFERROR(VLOOKUP($B130,'Raw Data by WH'!$A$1:$O$999999,8,FALSE),"")</f>
        <v/>
      </c>
      <c r="H130" s="7" t="str">
        <f>IFERROR(VLOOKUP($B130,'Raw Data by WH'!$A$1:$O$999999,9,FALSE),"")</f>
        <v/>
      </c>
      <c r="I130" s="7" t="str">
        <f>IFERROR(VLOOKUP($B130,'Raw Data by WH'!$A$1:$O$999999,10,FALSE),"")</f>
        <v/>
      </c>
    </row>
    <row r="131" spans="1:9" x14ac:dyDescent="0.3">
      <c r="A131">
        <f t="shared" si="4"/>
        <v>122</v>
      </c>
      <c r="B131" t="str">
        <f t="shared" si="5"/>
        <v>1-122</v>
      </c>
      <c r="C131" t="str">
        <f>IFERROR(VLOOKUP($B131,'Raw Data by WH'!$A$1:$O$999999,15,FALSE),"")</f>
        <v/>
      </c>
      <c r="D131" t="str">
        <f>IFERROR(VLOOKUP($B131,'Raw Data by WH'!$A$1:$O$999999,5,FALSE),"")</f>
        <v/>
      </c>
      <c r="E131" t="str">
        <f>IFERROR(VLOOKUP($B131,'Raw Data by WH'!$A$1:$O$999999,6,FALSE),"")</f>
        <v/>
      </c>
      <c r="F131" s="3" t="str">
        <f>IFERROR(VLOOKUP($B131,'Raw Data by WH'!$A$1:$O$999999,7,FALSE),"")</f>
        <v/>
      </c>
      <c r="G131" s="2" t="str">
        <f>IFERROR(VLOOKUP($B131,'Raw Data by WH'!$A$1:$O$999999,8,FALSE),"")</f>
        <v/>
      </c>
      <c r="H131" s="7" t="str">
        <f>IFERROR(VLOOKUP($B131,'Raw Data by WH'!$A$1:$O$999999,9,FALSE),"")</f>
        <v/>
      </c>
      <c r="I131" s="7" t="str">
        <f>IFERROR(VLOOKUP($B131,'Raw Data by WH'!$A$1:$O$999999,10,FALSE),"")</f>
        <v/>
      </c>
    </row>
    <row r="132" spans="1:9" x14ac:dyDescent="0.3">
      <c r="A132">
        <f t="shared" si="4"/>
        <v>123</v>
      </c>
      <c r="B132" t="str">
        <f t="shared" si="5"/>
        <v>1-123</v>
      </c>
      <c r="C132" t="str">
        <f>IFERROR(VLOOKUP($B132,'Raw Data by WH'!$A$1:$O$999999,15,FALSE),"")</f>
        <v/>
      </c>
      <c r="D132" t="str">
        <f>IFERROR(VLOOKUP($B132,'Raw Data by WH'!$A$1:$O$999999,5,FALSE),"")</f>
        <v/>
      </c>
      <c r="E132" t="str">
        <f>IFERROR(VLOOKUP($B132,'Raw Data by WH'!$A$1:$O$999999,6,FALSE),"")</f>
        <v/>
      </c>
      <c r="F132" s="3" t="str">
        <f>IFERROR(VLOOKUP($B132,'Raw Data by WH'!$A$1:$O$999999,7,FALSE),"")</f>
        <v/>
      </c>
      <c r="G132" s="2" t="str">
        <f>IFERROR(VLOOKUP($B132,'Raw Data by WH'!$A$1:$O$999999,8,FALSE),"")</f>
        <v/>
      </c>
      <c r="H132" s="7" t="str">
        <f>IFERROR(VLOOKUP($B132,'Raw Data by WH'!$A$1:$O$999999,9,FALSE),"")</f>
        <v/>
      </c>
      <c r="I132" s="7" t="str">
        <f>IFERROR(VLOOKUP($B132,'Raw Data by WH'!$A$1:$O$999999,10,FALSE),"")</f>
        <v/>
      </c>
    </row>
    <row r="133" spans="1:9" x14ac:dyDescent="0.3">
      <c r="A133">
        <f t="shared" si="4"/>
        <v>124</v>
      </c>
      <c r="B133" t="str">
        <f t="shared" si="5"/>
        <v>1-124</v>
      </c>
      <c r="C133" t="str">
        <f>IFERROR(VLOOKUP($B133,'Raw Data by WH'!$A$1:$O$999999,15,FALSE),"")</f>
        <v/>
      </c>
      <c r="D133" t="str">
        <f>IFERROR(VLOOKUP($B133,'Raw Data by WH'!$A$1:$O$999999,5,FALSE),"")</f>
        <v/>
      </c>
      <c r="E133" t="str">
        <f>IFERROR(VLOOKUP($B133,'Raw Data by WH'!$A$1:$O$999999,6,FALSE),"")</f>
        <v/>
      </c>
      <c r="F133" s="3" t="str">
        <f>IFERROR(VLOOKUP($B133,'Raw Data by WH'!$A$1:$O$999999,7,FALSE),"")</f>
        <v/>
      </c>
      <c r="G133" s="2" t="str">
        <f>IFERROR(VLOOKUP($B133,'Raw Data by WH'!$A$1:$O$999999,8,FALSE),"")</f>
        <v/>
      </c>
      <c r="H133" s="7" t="str">
        <f>IFERROR(VLOOKUP($B133,'Raw Data by WH'!$A$1:$O$999999,9,FALSE),"")</f>
        <v/>
      </c>
      <c r="I133" s="7" t="str">
        <f>IFERROR(VLOOKUP($B133,'Raw Data by WH'!$A$1:$O$999999,10,FALSE),"")</f>
        <v/>
      </c>
    </row>
    <row r="134" spans="1:9" x14ac:dyDescent="0.3">
      <c r="A134">
        <f t="shared" si="4"/>
        <v>125</v>
      </c>
      <c r="B134" t="str">
        <f t="shared" si="5"/>
        <v>1-125</v>
      </c>
      <c r="C134" t="str">
        <f>IFERROR(VLOOKUP($B134,'Raw Data by WH'!$A$1:$O$999999,15,FALSE),"")</f>
        <v/>
      </c>
      <c r="D134" t="str">
        <f>IFERROR(VLOOKUP($B134,'Raw Data by WH'!$A$1:$O$999999,5,FALSE),"")</f>
        <v/>
      </c>
      <c r="E134" t="str">
        <f>IFERROR(VLOOKUP($B134,'Raw Data by WH'!$A$1:$O$999999,6,FALSE),"")</f>
        <v/>
      </c>
      <c r="F134" s="3" t="str">
        <f>IFERROR(VLOOKUP($B134,'Raw Data by WH'!$A$1:$O$999999,7,FALSE),"")</f>
        <v/>
      </c>
      <c r="G134" s="2" t="str">
        <f>IFERROR(VLOOKUP($B134,'Raw Data by WH'!$A$1:$O$999999,8,FALSE),"")</f>
        <v/>
      </c>
      <c r="H134" s="7" t="str">
        <f>IFERROR(VLOOKUP($B134,'Raw Data by WH'!$A$1:$O$999999,9,FALSE),"")</f>
        <v/>
      </c>
      <c r="I134" s="7" t="str">
        <f>IFERROR(VLOOKUP($B134,'Raw Data by WH'!$A$1:$O$999999,10,FALSE),"")</f>
        <v/>
      </c>
    </row>
    <row r="135" spans="1:9" x14ac:dyDescent="0.3">
      <c r="A135">
        <f t="shared" si="4"/>
        <v>126</v>
      </c>
      <c r="B135" t="str">
        <f t="shared" si="5"/>
        <v>1-126</v>
      </c>
      <c r="C135" t="str">
        <f>IFERROR(VLOOKUP($B135,'Raw Data by WH'!$A$1:$O$999999,15,FALSE),"")</f>
        <v/>
      </c>
      <c r="D135" t="str">
        <f>IFERROR(VLOOKUP($B135,'Raw Data by WH'!$A$1:$O$999999,5,FALSE),"")</f>
        <v/>
      </c>
      <c r="E135" t="str">
        <f>IFERROR(VLOOKUP($B135,'Raw Data by WH'!$A$1:$O$999999,6,FALSE),"")</f>
        <v/>
      </c>
      <c r="F135" s="3" t="str">
        <f>IFERROR(VLOOKUP($B135,'Raw Data by WH'!$A$1:$O$999999,7,FALSE),"")</f>
        <v/>
      </c>
      <c r="G135" s="2" t="str">
        <f>IFERROR(VLOOKUP($B135,'Raw Data by WH'!$A$1:$O$999999,8,FALSE),"")</f>
        <v/>
      </c>
      <c r="H135" s="7" t="str">
        <f>IFERROR(VLOOKUP($B135,'Raw Data by WH'!$A$1:$O$999999,9,FALSE),"")</f>
        <v/>
      </c>
      <c r="I135" s="7" t="str">
        <f>IFERROR(VLOOKUP($B135,'Raw Data by WH'!$A$1:$O$999999,10,FALSE),"")</f>
        <v/>
      </c>
    </row>
    <row r="136" spans="1:9" x14ac:dyDescent="0.3">
      <c r="A136">
        <f t="shared" si="4"/>
        <v>127</v>
      </c>
      <c r="B136" t="str">
        <f t="shared" si="5"/>
        <v>1-127</v>
      </c>
      <c r="C136" t="str">
        <f>IFERROR(VLOOKUP($B136,'Raw Data by WH'!$A$1:$O$999999,15,FALSE),"")</f>
        <v/>
      </c>
      <c r="D136" t="str">
        <f>IFERROR(VLOOKUP($B136,'Raw Data by WH'!$A$1:$O$999999,5,FALSE),"")</f>
        <v/>
      </c>
      <c r="E136" t="str">
        <f>IFERROR(VLOOKUP($B136,'Raw Data by WH'!$A$1:$O$999999,6,FALSE),"")</f>
        <v/>
      </c>
      <c r="F136" s="3" t="str">
        <f>IFERROR(VLOOKUP($B136,'Raw Data by WH'!$A$1:$O$999999,7,FALSE),"")</f>
        <v/>
      </c>
      <c r="G136" s="2" t="str">
        <f>IFERROR(VLOOKUP($B136,'Raw Data by WH'!$A$1:$O$999999,8,FALSE),"")</f>
        <v/>
      </c>
      <c r="H136" s="7" t="str">
        <f>IFERROR(VLOOKUP($B136,'Raw Data by WH'!$A$1:$O$999999,9,FALSE),"")</f>
        <v/>
      </c>
      <c r="I136" s="7" t="str">
        <f>IFERROR(VLOOKUP($B136,'Raw Data by WH'!$A$1:$O$999999,10,FALSE),"")</f>
        <v/>
      </c>
    </row>
    <row r="137" spans="1:9" x14ac:dyDescent="0.3">
      <c r="A137">
        <f t="shared" si="4"/>
        <v>128</v>
      </c>
      <c r="B137" t="str">
        <f t="shared" si="5"/>
        <v>1-128</v>
      </c>
      <c r="C137" t="str">
        <f>IFERROR(VLOOKUP($B137,'Raw Data by WH'!$A$1:$O$999999,15,FALSE),"")</f>
        <v/>
      </c>
      <c r="D137" t="str">
        <f>IFERROR(VLOOKUP($B137,'Raw Data by WH'!$A$1:$O$999999,5,FALSE),"")</f>
        <v/>
      </c>
      <c r="E137" t="str">
        <f>IFERROR(VLOOKUP($B137,'Raw Data by WH'!$A$1:$O$999999,6,FALSE),"")</f>
        <v/>
      </c>
      <c r="F137" s="3" t="str">
        <f>IFERROR(VLOOKUP($B137,'Raw Data by WH'!$A$1:$O$999999,7,FALSE),"")</f>
        <v/>
      </c>
      <c r="G137" s="2" t="str">
        <f>IFERROR(VLOOKUP($B137,'Raw Data by WH'!$A$1:$O$999999,8,FALSE),"")</f>
        <v/>
      </c>
      <c r="H137" s="7" t="str">
        <f>IFERROR(VLOOKUP($B137,'Raw Data by WH'!$A$1:$O$999999,9,FALSE),"")</f>
        <v/>
      </c>
      <c r="I137" s="7" t="str">
        <f>IFERROR(VLOOKUP($B137,'Raw Data by WH'!$A$1:$O$999999,10,FALSE),"")</f>
        <v/>
      </c>
    </row>
    <row r="138" spans="1:9" x14ac:dyDescent="0.3">
      <c r="A138">
        <f t="shared" si="4"/>
        <v>129</v>
      </c>
      <c r="B138" t="str">
        <f t="shared" si="5"/>
        <v>1-129</v>
      </c>
      <c r="C138" t="str">
        <f>IFERROR(VLOOKUP($B138,'Raw Data by WH'!$A$1:$O$999999,15,FALSE),"")</f>
        <v/>
      </c>
      <c r="D138" t="str">
        <f>IFERROR(VLOOKUP($B138,'Raw Data by WH'!$A$1:$O$999999,5,FALSE),"")</f>
        <v/>
      </c>
      <c r="E138" t="str">
        <f>IFERROR(VLOOKUP($B138,'Raw Data by WH'!$A$1:$O$999999,6,FALSE),"")</f>
        <v/>
      </c>
      <c r="F138" s="3" t="str">
        <f>IFERROR(VLOOKUP($B138,'Raw Data by WH'!$A$1:$O$999999,7,FALSE),"")</f>
        <v/>
      </c>
      <c r="G138" s="2" t="str">
        <f>IFERROR(VLOOKUP($B138,'Raw Data by WH'!$A$1:$O$999999,8,FALSE),"")</f>
        <v/>
      </c>
      <c r="H138" s="7" t="str">
        <f>IFERROR(VLOOKUP($B138,'Raw Data by WH'!$A$1:$O$999999,9,FALSE),"")</f>
        <v/>
      </c>
      <c r="I138" s="7" t="str">
        <f>IFERROR(VLOOKUP($B138,'Raw Data by WH'!$A$1:$O$999999,10,FALSE),"")</f>
        <v/>
      </c>
    </row>
    <row r="139" spans="1:9" x14ac:dyDescent="0.3">
      <c r="A139">
        <f t="shared" si="4"/>
        <v>130</v>
      </c>
      <c r="B139" t="str">
        <f t="shared" si="5"/>
        <v>1-130</v>
      </c>
      <c r="C139" t="str">
        <f>IFERROR(VLOOKUP($B139,'Raw Data by WH'!$A$1:$O$999999,15,FALSE),"")</f>
        <v/>
      </c>
      <c r="D139" t="str">
        <f>IFERROR(VLOOKUP($B139,'Raw Data by WH'!$A$1:$O$999999,5,FALSE),"")</f>
        <v/>
      </c>
      <c r="E139" t="str">
        <f>IFERROR(VLOOKUP($B139,'Raw Data by WH'!$A$1:$O$999999,6,FALSE),"")</f>
        <v/>
      </c>
      <c r="F139" s="3" t="str">
        <f>IFERROR(VLOOKUP($B139,'Raw Data by WH'!$A$1:$O$999999,7,FALSE),"")</f>
        <v/>
      </c>
      <c r="G139" s="2" t="str">
        <f>IFERROR(VLOOKUP($B139,'Raw Data by WH'!$A$1:$O$999999,8,FALSE),"")</f>
        <v/>
      </c>
      <c r="H139" s="7" t="str">
        <f>IFERROR(VLOOKUP($B139,'Raw Data by WH'!$A$1:$O$999999,9,FALSE),"")</f>
        <v/>
      </c>
      <c r="I139" s="7" t="str">
        <f>IFERROR(VLOOKUP($B139,'Raw Data by WH'!$A$1:$O$999999,10,FALSE),"")</f>
        <v/>
      </c>
    </row>
    <row r="140" spans="1:9" x14ac:dyDescent="0.3">
      <c r="A140">
        <f t="shared" si="4"/>
        <v>131</v>
      </c>
      <c r="B140" t="str">
        <f t="shared" si="5"/>
        <v>1-131</v>
      </c>
      <c r="C140" t="str">
        <f>IFERROR(VLOOKUP($B140,'Raw Data by WH'!$A$1:$O$999999,15,FALSE),"")</f>
        <v/>
      </c>
      <c r="D140" t="str">
        <f>IFERROR(VLOOKUP($B140,'Raw Data by WH'!$A$1:$O$999999,5,FALSE),"")</f>
        <v/>
      </c>
      <c r="E140" t="str">
        <f>IFERROR(VLOOKUP($B140,'Raw Data by WH'!$A$1:$O$999999,6,FALSE),"")</f>
        <v/>
      </c>
      <c r="F140" s="3" t="str">
        <f>IFERROR(VLOOKUP($B140,'Raw Data by WH'!$A$1:$O$999999,7,FALSE),"")</f>
        <v/>
      </c>
      <c r="G140" s="2" t="str">
        <f>IFERROR(VLOOKUP($B140,'Raw Data by WH'!$A$1:$O$999999,8,FALSE),"")</f>
        <v/>
      </c>
      <c r="H140" s="7" t="str">
        <f>IFERROR(VLOOKUP($B140,'Raw Data by WH'!$A$1:$O$999999,9,FALSE),"")</f>
        <v/>
      </c>
      <c r="I140" s="7" t="str">
        <f>IFERROR(VLOOKUP($B140,'Raw Data by WH'!$A$1:$O$999999,10,FALSE),"")</f>
        <v/>
      </c>
    </row>
    <row r="141" spans="1:9" x14ac:dyDescent="0.3">
      <c r="A141">
        <f t="shared" si="4"/>
        <v>132</v>
      </c>
      <c r="B141" t="str">
        <f t="shared" si="5"/>
        <v>1-132</v>
      </c>
      <c r="C141" t="str">
        <f>IFERROR(VLOOKUP($B141,'Raw Data by WH'!$A$1:$O$999999,15,FALSE),"")</f>
        <v/>
      </c>
      <c r="D141" t="str">
        <f>IFERROR(VLOOKUP($B141,'Raw Data by WH'!$A$1:$O$999999,5,FALSE),"")</f>
        <v/>
      </c>
      <c r="E141" t="str">
        <f>IFERROR(VLOOKUP($B141,'Raw Data by WH'!$A$1:$O$999999,6,FALSE),"")</f>
        <v/>
      </c>
      <c r="F141" s="3" t="str">
        <f>IFERROR(VLOOKUP($B141,'Raw Data by WH'!$A$1:$O$999999,7,FALSE),"")</f>
        <v/>
      </c>
      <c r="G141" s="2" t="str">
        <f>IFERROR(VLOOKUP($B141,'Raw Data by WH'!$A$1:$O$999999,8,FALSE),"")</f>
        <v/>
      </c>
      <c r="H141" s="7" t="str">
        <f>IFERROR(VLOOKUP($B141,'Raw Data by WH'!$A$1:$O$999999,9,FALSE),"")</f>
        <v/>
      </c>
      <c r="I141" s="7" t="str">
        <f>IFERROR(VLOOKUP($B141,'Raw Data by WH'!$A$1:$O$999999,10,FALSE),"")</f>
        <v/>
      </c>
    </row>
    <row r="142" spans="1:9" x14ac:dyDescent="0.3">
      <c r="A142">
        <f t="shared" si="4"/>
        <v>133</v>
      </c>
      <c r="B142" t="str">
        <f t="shared" si="5"/>
        <v>1-133</v>
      </c>
      <c r="C142" t="str">
        <f>IFERROR(VLOOKUP($B142,'Raw Data by WH'!$A$1:$O$999999,15,FALSE),"")</f>
        <v/>
      </c>
      <c r="D142" t="str">
        <f>IFERROR(VLOOKUP($B142,'Raw Data by WH'!$A$1:$O$999999,5,FALSE),"")</f>
        <v/>
      </c>
      <c r="E142" t="str">
        <f>IFERROR(VLOOKUP($B142,'Raw Data by WH'!$A$1:$O$999999,6,FALSE),"")</f>
        <v/>
      </c>
      <c r="F142" s="3" t="str">
        <f>IFERROR(VLOOKUP($B142,'Raw Data by WH'!$A$1:$O$999999,7,FALSE),"")</f>
        <v/>
      </c>
      <c r="G142" s="2" t="str">
        <f>IFERROR(VLOOKUP($B142,'Raw Data by WH'!$A$1:$O$999999,8,FALSE),"")</f>
        <v/>
      </c>
      <c r="H142" s="7" t="str">
        <f>IFERROR(VLOOKUP($B142,'Raw Data by WH'!$A$1:$O$999999,9,FALSE),"")</f>
        <v/>
      </c>
      <c r="I142" s="7" t="str">
        <f>IFERROR(VLOOKUP($B142,'Raw Data by WH'!$A$1:$O$999999,10,FALSE),"")</f>
        <v/>
      </c>
    </row>
    <row r="143" spans="1:9" x14ac:dyDescent="0.3">
      <c r="A143">
        <f t="shared" si="4"/>
        <v>134</v>
      </c>
      <c r="B143" t="str">
        <f t="shared" si="5"/>
        <v>1-134</v>
      </c>
      <c r="C143" t="str">
        <f>IFERROR(VLOOKUP($B143,'Raw Data by WH'!$A$1:$O$999999,15,FALSE),"")</f>
        <v/>
      </c>
      <c r="D143" t="str">
        <f>IFERROR(VLOOKUP($B143,'Raw Data by WH'!$A$1:$O$999999,5,FALSE),"")</f>
        <v/>
      </c>
      <c r="E143" t="str">
        <f>IFERROR(VLOOKUP($B143,'Raw Data by WH'!$A$1:$O$999999,6,FALSE),"")</f>
        <v/>
      </c>
      <c r="F143" s="3" t="str">
        <f>IFERROR(VLOOKUP($B143,'Raw Data by WH'!$A$1:$O$999999,7,FALSE),"")</f>
        <v/>
      </c>
      <c r="G143" s="2" t="str">
        <f>IFERROR(VLOOKUP($B143,'Raw Data by WH'!$A$1:$O$999999,8,FALSE),"")</f>
        <v/>
      </c>
      <c r="H143" s="7" t="str">
        <f>IFERROR(VLOOKUP($B143,'Raw Data by WH'!$A$1:$O$999999,9,FALSE),"")</f>
        <v/>
      </c>
      <c r="I143" s="7" t="str">
        <f>IFERROR(VLOOKUP($B143,'Raw Data by WH'!$A$1:$O$999999,10,FALSE),"")</f>
        <v/>
      </c>
    </row>
    <row r="144" spans="1:9" x14ac:dyDescent="0.3">
      <c r="A144">
        <f t="shared" si="4"/>
        <v>135</v>
      </c>
      <c r="B144" t="str">
        <f t="shared" si="5"/>
        <v>1-135</v>
      </c>
      <c r="C144" t="str">
        <f>IFERROR(VLOOKUP($B144,'Raw Data by WH'!$A$1:$O$999999,15,FALSE),"")</f>
        <v/>
      </c>
      <c r="D144" t="str">
        <f>IFERROR(VLOOKUP($B144,'Raw Data by WH'!$A$1:$O$999999,5,FALSE),"")</f>
        <v/>
      </c>
      <c r="E144" t="str">
        <f>IFERROR(VLOOKUP($B144,'Raw Data by WH'!$A$1:$O$999999,6,FALSE),"")</f>
        <v/>
      </c>
      <c r="F144" s="3" t="str">
        <f>IFERROR(VLOOKUP($B144,'Raw Data by WH'!$A$1:$O$999999,7,FALSE),"")</f>
        <v/>
      </c>
      <c r="G144" s="2" t="str">
        <f>IFERROR(VLOOKUP($B144,'Raw Data by WH'!$A$1:$O$999999,8,FALSE),"")</f>
        <v/>
      </c>
      <c r="H144" s="7" t="str">
        <f>IFERROR(VLOOKUP($B144,'Raw Data by WH'!$A$1:$O$999999,9,FALSE),"")</f>
        <v/>
      </c>
      <c r="I144" s="7" t="str">
        <f>IFERROR(VLOOKUP($B144,'Raw Data by WH'!$A$1:$O$999999,10,FALSE),"")</f>
        <v/>
      </c>
    </row>
    <row r="145" spans="1:9" x14ac:dyDescent="0.3">
      <c r="A145">
        <f t="shared" si="4"/>
        <v>136</v>
      </c>
      <c r="B145" t="str">
        <f t="shared" si="5"/>
        <v>1-136</v>
      </c>
      <c r="C145" t="str">
        <f>IFERROR(VLOOKUP($B145,'Raw Data by WH'!$A$1:$O$999999,15,FALSE),"")</f>
        <v/>
      </c>
      <c r="D145" t="str">
        <f>IFERROR(VLOOKUP($B145,'Raw Data by WH'!$A$1:$O$999999,5,FALSE),"")</f>
        <v/>
      </c>
      <c r="E145" t="str">
        <f>IFERROR(VLOOKUP($B145,'Raw Data by WH'!$A$1:$O$999999,6,FALSE),"")</f>
        <v/>
      </c>
      <c r="F145" s="3" t="str">
        <f>IFERROR(VLOOKUP($B145,'Raw Data by WH'!$A$1:$O$999999,7,FALSE),"")</f>
        <v/>
      </c>
      <c r="G145" s="2" t="str">
        <f>IFERROR(VLOOKUP($B145,'Raw Data by WH'!$A$1:$O$999999,8,FALSE),"")</f>
        <v/>
      </c>
      <c r="H145" s="7" t="str">
        <f>IFERROR(VLOOKUP($B145,'Raw Data by WH'!$A$1:$O$999999,9,FALSE),"")</f>
        <v/>
      </c>
      <c r="I145" s="7" t="str">
        <f>IFERROR(VLOOKUP($B145,'Raw Data by WH'!$A$1:$O$999999,10,FALSE),"")</f>
        <v/>
      </c>
    </row>
    <row r="146" spans="1:9" x14ac:dyDescent="0.3">
      <c r="A146">
        <f t="shared" si="4"/>
        <v>137</v>
      </c>
      <c r="B146" t="str">
        <f t="shared" si="5"/>
        <v>1-137</v>
      </c>
      <c r="C146" t="str">
        <f>IFERROR(VLOOKUP($B146,'Raw Data by WH'!$A$1:$O$999999,15,FALSE),"")</f>
        <v/>
      </c>
      <c r="D146" t="str">
        <f>IFERROR(VLOOKUP($B146,'Raw Data by WH'!$A$1:$O$999999,5,FALSE),"")</f>
        <v/>
      </c>
      <c r="E146" t="str">
        <f>IFERROR(VLOOKUP($B146,'Raw Data by WH'!$A$1:$O$999999,6,FALSE),"")</f>
        <v/>
      </c>
      <c r="F146" s="3" t="str">
        <f>IFERROR(VLOOKUP($B146,'Raw Data by WH'!$A$1:$O$999999,7,FALSE),"")</f>
        <v/>
      </c>
      <c r="G146" s="2" t="str">
        <f>IFERROR(VLOOKUP($B146,'Raw Data by WH'!$A$1:$O$999999,8,FALSE),"")</f>
        <v/>
      </c>
      <c r="H146" s="7" t="str">
        <f>IFERROR(VLOOKUP($B146,'Raw Data by WH'!$A$1:$O$999999,9,FALSE),"")</f>
        <v/>
      </c>
      <c r="I146" s="7" t="str">
        <f>IFERROR(VLOOKUP($B146,'Raw Data by WH'!$A$1:$O$999999,10,FALSE),"")</f>
        <v/>
      </c>
    </row>
    <row r="147" spans="1:9" x14ac:dyDescent="0.3">
      <c r="A147">
        <f t="shared" si="4"/>
        <v>138</v>
      </c>
      <c r="B147" t="str">
        <f t="shared" si="5"/>
        <v>1-138</v>
      </c>
      <c r="C147" t="str">
        <f>IFERROR(VLOOKUP($B147,'Raw Data by WH'!$A$1:$O$999999,15,FALSE),"")</f>
        <v/>
      </c>
      <c r="D147" t="str">
        <f>IFERROR(VLOOKUP($B147,'Raw Data by WH'!$A$1:$O$999999,5,FALSE),"")</f>
        <v/>
      </c>
      <c r="E147" t="str">
        <f>IFERROR(VLOOKUP($B147,'Raw Data by WH'!$A$1:$O$999999,6,FALSE),"")</f>
        <v/>
      </c>
      <c r="F147" s="3" t="str">
        <f>IFERROR(VLOOKUP($B147,'Raw Data by WH'!$A$1:$O$999999,7,FALSE),"")</f>
        <v/>
      </c>
      <c r="G147" s="2" t="str">
        <f>IFERROR(VLOOKUP($B147,'Raw Data by WH'!$A$1:$O$999999,8,FALSE),"")</f>
        <v/>
      </c>
      <c r="H147" s="7" t="str">
        <f>IFERROR(VLOOKUP($B147,'Raw Data by WH'!$A$1:$O$999999,9,FALSE),"")</f>
        <v/>
      </c>
      <c r="I147" s="7" t="str">
        <f>IFERROR(VLOOKUP($B147,'Raw Data by WH'!$A$1:$O$999999,10,FALSE),"")</f>
        <v/>
      </c>
    </row>
    <row r="148" spans="1:9" x14ac:dyDescent="0.3">
      <c r="A148">
        <f t="shared" si="4"/>
        <v>139</v>
      </c>
      <c r="B148" t="str">
        <f t="shared" si="5"/>
        <v>1-139</v>
      </c>
      <c r="C148" t="str">
        <f>IFERROR(VLOOKUP($B148,'Raw Data by WH'!$A$1:$O$999999,15,FALSE),"")</f>
        <v/>
      </c>
      <c r="D148" t="str">
        <f>IFERROR(VLOOKUP($B148,'Raw Data by WH'!$A$1:$O$999999,5,FALSE),"")</f>
        <v/>
      </c>
      <c r="E148" t="str">
        <f>IFERROR(VLOOKUP($B148,'Raw Data by WH'!$A$1:$O$999999,6,FALSE),"")</f>
        <v/>
      </c>
      <c r="F148" s="3" t="str">
        <f>IFERROR(VLOOKUP($B148,'Raw Data by WH'!$A$1:$O$999999,7,FALSE),"")</f>
        <v/>
      </c>
      <c r="G148" s="2" t="str">
        <f>IFERROR(VLOOKUP($B148,'Raw Data by WH'!$A$1:$O$999999,8,FALSE),"")</f>
        <v/>
      </c>
      <c r="H148" s="7" t="str">
        <f>IFERROR(VLOOKUP($B148,'Raw Data by WH'!$A$1:$O$999999,9,FALSE),"")</f>
        <v/>
      </c>
      <c r="I148" s="7" t="str">
        <f>IFERROR(VLOOKUP($B148,'Raw Data by WH'!$A$1:$O$999999,10,FALSE),"")</f>
        <v/>
      </c>
    </row>
    <row r="149" spans="1:9" x14ac:dyDescent="0.3">
      <c r="A149">
        <f t="shared" si="4"/>
        <v>140</v>
      </c>
      <c r="B149" t="str">
        <f t="shared" si="5"/>
        <v>1-140</v>
      </c>
      <c r="C149" t="str">
        <f>IFERROR(VLOOKUP($B149,'Raw Data by WH'!$A$1:$O$999999,15,FALSE),"")</f>
        <v/>
      </c>
      <c r="D149" t="str">
        <f>IFERROR(VLOOKUP($B149,'Raw Data by WH'!$A$1:$O$999999,5,FALSE),"")</f>
        <v/>
      </c>
      <c r="E149" t="str">
        <f>IFERROR(VLOOKUP($B149,'Raw Data by WH'!$A$1:$O$999999,6,FALSE),"")</f>
        <v/>
      </c>
      <c r="F149" s="3" t="str">
        <f>IFERROR(VLOOKUP($B149,'Raw Data by WH'!$A$1:$O$999999,7,FALSE),"")</f>
        <v/>
      </c>
      <c r="G149" s="2" t="str">
        <f>IFERROR(VLOOKUP($B149,'Raw Data by WH'!$A$1:$O$999999,8,FALSE),"")</f>
        <v/>
      </c>
      <c r="H149" s="7" t="str">
        <f>IFERROR(VLOOKUP($B149,'Raw Data by WH'!$A$1:$O$999999,9,FALSE),"")</f>
        <v/>
      </c>
      <c r="I149" s="7" t="str">
        <f>IFERROR(VLOOKUP($B149,'Raw Data by WH'!$A$1:$O$999999,10,FALSE),"")</f>
        <v/>
      </c>
    </row>
    <row r="150" spans="1:9" x14ac:dyDescent="0.3">
      <c r="A150">
        <f t="shared" si="4"/>
        <v>141</v>
      </c>
      <c r="B150" t="str">
        <f t="shared" si="5"/>
        <v>1-141</v>
      </c>
      <c r="C150" t="str">
        <f>IFERROR(VLOOKUP($B150,'Raw Data by WH'!$A$1:$O$999999,15,FALSE),"")</f>
        <v/>
      </c>
      <c r="D150" t="str">
        <f>IFERROR(VLOOKUP($B150,'Raw Data by WH'!$A$1:$O$999999,5,FALSE),"")</f>
        <v/>
      </c>
      <c r="E150" t="str">
        <f>IFERROR(VLOOKUP($B150,'Raw Data by WH'!$A$1:$O$999999,6,FALSE),"")</f>
        <v/>
      </c>
      <c r="F150" s="3" t="str">
        <f>IFERROR(VLOOKUP($B150,'Raw Data by WH'!$A$1:$O$999999,7,FALSE),"")</f>
        <v/>
      </c>
      <c r="G150" s="2" t="str">
        <f>IFERROR(VLOOKUP($B150,'Raw Data by WH'!$A$1:$O$999999,8,FALSE),"")</f>
        <v/>
      </c>
      <c r="H150" s="7" t="str">
        <f>IFERROR(VLOOKUP($B150,'Raw Data by WH'!$A$1:$O$999999,9,FALSE),"")</f>
        <v/>
      </c>
      <c r="I150" s="7" t="str">
        <f>IFERROR(VLOOKUP($B150,'Raw Data by WH'!$A$1:$O$999999,10,FALSE),"")</f>
        <v/>
      </c>
    </row>
    <row r="151" spans="1:9" x14ac:dyDescent="0.3">
      <c r="A151">
        <f t="shared" si="4"/>
        <v>142</v>
      </c>
      <c r="B151" t="str">
        <f t="shared" si="5"/>
        <v>1-142</v>
      </c>
      <c r="C151" t="str">
        <f>IFERROR(VLOOKUP($B151,'Raw Data by WH'!$A$1:$O$999999,15,FALSE),"")</f>
        <v/>
      </c>
      <c r="D151" t="str">
        <f>IFERROR(VLOOKUP($B151,'Raw Data by WH'!$A$1:$O$999999,5,FALSE),"")</f>
        <v/>
      </c>
      <c r="E151" t="str">
        <f>IFERROR(VLOOKUP($B151,'Raw Data by WH'!$A$1:$O$999999,6,FALSE),"")</f>
        <v/>
      </c>
      <c r="F151" s="3" t="str">
        <f>IFERROR(VLOOKUP($B151,'Raw Data by WH'!$A$1:$O$999999,7,FALSE),"")</f>
        <v/>
      </c>
      <c r="G151" s="2" t="str">
        <f>IFERROR(VLOOKUP($B151,'Raw Data by WH'!$A$1:$O$999999,8,FALSE),"")</f>
        <v/>
      </c>
      <c r="H151" s="7" t="str">
        <f>IFERROR(VLOOKUP($B151,'Raw Data by WH'!$A$1:$O$999999,9,FALSE),"")</f>
        <v/>
      </c>
      <c r="I151" s="7" t="str">
        <f>IFERROR(VLOOKUP($B151,'Raw Data by WH'!$A$1:$O$999999,10,FALSE),"")</f>
        <v/>
      </c>
    </row>
    <row r="152" spans="1:9" x14ac:dyDescent="0.3">
      <c r="A152">
        <f t="shared" si="4"/>
        <v>143</v>
      </c>
      <c r="B152" t="str">
        <f t="shared" si="5"/>
        <v>1-143</v>
      </c>
      <c r="C152" t="str">
        <f>IFERROR(VLOOKUP($B152,'Raw Data by WH'!$A$1:$O$999999,15,FALSE),"")</f>
        <v/>
      </c>
      <c r="D152" t="str">
        <f>IFERROR(VLOOKUP($B152,'Raw Data by WH'!$A$1:$O$999999,5,FALSE),"")</f>
        <v/>
      </c>
      <c r="E152" t="str">
        <f>IFERROR(VLOOKUP($B152,'Raw Data by WH'!$A$1:$O$999999,6,FALSE),"")</f>
        <v/>
      </c>
      <c r="F152" s="3" t="str">
        <f>IFERROR(VLOOKUP($B152,'Raw Data by WH'!$A$1:$O$999999,7,FALSE),"")</f>
        <v/>
      </c>
      <c r="G152" s="2" t="str">
        <f>IFERROR(VLOOKUP($B152,'Raw Data by WH'!$A$1:$O$999999,8,FALSE),"")</f>
        <v/>
      </c>
      <c r="H152" s="7" t="str">
        <f>IFERROR(VLOOKUP($B152,'Raw Data by WH'!$A$1:$O$999999,9,FALSE),"")</f>
        <v/>
      </c>
      <c r="I152" s="7" t="str">
        <f>IFERROR(VLOOKUP($B152,'Raw Data by WH'!$A$1:$O$999999,10,FALSE),"")</f>
        <v/>
      </c>
    </row>
    <row r="153" spans="1:9" x14ac:dyDescent="0.3">
      <c r="A153">
        <f t="shared" si="4"/>
        <v>144</v>
      </c>
      <c r="B153" t="str">
        <f t="shared" si="5"/>
        <v>1-144</v>
      </c>
      <c r="C153" t="str">
        <f>IFERROR(VLOOKUP($B153,'Raw Data by WH'!$A$1:$O$999999,15,FALSE),"")</f>
        <v/>
      </c>
      <c r="D153" t="str">
        <f>IFERROR(VLOOKUP($B153,'Raw Data by WH'!$A$1:$O$999999,5,FALSE),"")</f>
        <v/>
      </c>
      <c r="E153" t="str">
        <f>IFERROR(VLOOKUP($B153,'Raw Data by WH'!$A$1:$O$999999,6,FALSE),"")</f>
        <v/>
      </c>
      <c r="F153" s="3" t="str">
        <f>IFERROR(VLOOKUP($B153,'Raw Data by WH'!$A$1:$O$999999,7,FALSE),"")</f>
        <v/>
      </c>
      <c r="G153" s="2" t="str">
        <f>IFERROR(VLOOKUP($B153,'Raw Data by WH'!$A$1:$O$999999,8,FALSE),"")</f>
        <v/>
      </c>
      <c r="H153" s="7" t="str">
        <f>IFERROR(VLOOKUP($B153,'Raw Data by WH'!$A$1:$O$999999,9,FALSE),"")</f>
        <v/>
      </c>
      <c r="I153" s="7" t="str">
        <f>IFERROR(VLOOKUP($B153,'Raw Data by WH'!$A$1:$O$999999,10,FALSE),"")</f>
        <v/>
      </c>
    </row>
    <row r="154" spans="1:9" x14ac:dyDescent="0.3">
      <c r="A154">
        <f t="shared" si="4"/>
        <v>145</v>
      </c>
      <c r="B154" t="str">
        <f t="shared" si="5"/>
        <v>1-145</v>
      </c>
      <c r="C154" t="str">
        <f>IFERROR(VLOOKUP($B154,'Raw Data by WH'!$A$1:$O$999999,15,FALSE),"")</f>
        <v/>
      </c>
      <c r="D154" t="str">
        <f>IFERROR(VLOOKUP($B154,'Raw Data by WH'!$A$1:$O$999999,5,FALSE),"")</f>
        <v/>
      </c>
      <c r="E154" t="str">
        <f>IFERROR(VLOOKUP($B154,'Raw Data by WH'!$A$1:$O$999999,6,FALSE),"")</f>
        <v/>
      </c>
      <c r="F154" s="3" t="str">
        <f>IFERROR(VLOOKUP($B154,'Raw Data by WH'!$A$1:$O$999999,7,FALSE),"")</f>
        <v/>
      </c>
      <c r="G154" s="2" t="str">
        <f>IFERROR(VLOOKUP($B154,'Raw Data by WH'!$A$1:$O$999999,8,FALSE),"")</f>
        <v/>
      </c>
      <c r="H154" s="7" t="str">
        <f>IFERROR(VLOOKUP($B154,'Raw Data by WH'!$A$1:$O$999999,9,FALSE),"")</f>
        <v/>
      </c>
      <c r="I154" s="7" t="str">
        <f>IFERROR(VLOOKUP($B154,'Raw Data by WH'!$A$1:$O$999999,10,FALSE),"")</f>
        <v/>
      </c>
    </row>
    <row r="155" spans="1:9" x14ac:dyDescent="0.3">
      <c r="A155">
        <f t="shared" si="4"/>
        <v>146</v>
      </c>
      <c r="B155" t="str">
        <f t="shared" si="5"/>
        <v>1-146</v>
      </c>
      <c r="C155" t="str">
        <f>IFERROR(VLOOKUP($B155,'Raw Data by WH'!$A$1:$O$999999,15,FALSE),"")</f>
        <v/>
      </c>
      <c r="D155" t="str">
        <f>IFERROR(VLOOKUP($B155,'Raw Data by WH'!$A$1:$O$999999,5,FALSE),"")</f>
        <v/>
      </c>
      <c r="E155" t="str">
        <f>IFERROR(VLOOKUP($B155,'Raw Data by WH'!$A$1:$O$999999,6,FALSE),"")</f>
        <v/>
      </c>
      <c r="F155" s="3" t="str">
        <f>IFERROR(VLOOKUP($B155,'Raw Data by WH'!$A$1:$O$999999,7,FALSE),"")</f>
        <v/>
      </c>
      <c r="G155" s="2" t="str">
        <f>IFERROR(VLOOKUP($B155,'Raw Data by WH'!$A$1:$O$999999,8,FALSE),"")</f>
        <v/>
      </c>
      <c r="H155" s="7" t="str">
        <f>IFERROR(VLOOKUP($B155,'Raw Data by WH'!$A$1:$O$999999,9,FALSE),"")</f>
        <v/>
      </c>
      <c r="I155" s="7" t="str">
        <f>IFERROR(VLOOKUP($B155,'Raw Data by WH'!$A$1:$O$999999,10,FALSE),"")</f>
        <v/>
      </c>
    </row>
    <row r="156" spans="1:9" x14ac:dyDescent="0.3">
      <c r="A156">
        <f t="shared" si="4"/>
        <v>147</v>
      </c>
      <c r="B156" t="str">
        <f t="shared" si="5"/>
        <v>1-147</v>
      </c>
      <c r="C156" t="str">
        <f>IFERROR(VLOOKUP($B156,'Raw Data by WH'!$A$1:$O$999999,15,FALSE),"")</f>
        <v/>
      </c>
      <c r="D156" t="str">
        <f>IFERROR(VLOOKUP($B156,'Raw Data by WH'!$A$1:$O$999999,5,FALSE),"")</f>
        <v/>
      </c>
      <c r="E156" t="str">
        <f>IFERROR(VLOOKUP($B156,'Raw Data by WH'!$A$1:$O$999999,6,FALSE),"")</f>
        <v/>
      </c>
      <c r="F156" s="3" t="str">
        <f>IFERROR(VLOOKUP($B156,'Raw Data by WH'!$A$1:$O$999999,7,FALSE),"")</f>
        <v/>
      </c>
      <c r="G156" s="2" t="str">
        <f>IFERROR(VLOOKUP($B156,'Raw Data by WH'!$A$1:$O$999999,8,FALSE),"")</f>
        <v/>
      </c>
      <c r="H156" s="7" t="str">
        <f>IFERROR(VLOOKUP($B156,'Raw Data by WH'!$A$1:$O$999999,9,FALSE),"")</f>
        <v/>
      </c>
      <c r="I156" s="7" t="str">
        <f>IFERROR(VLOOKUP($B156,'Raw Data by WH'!$A$1:$O$999999,10,FALSE),"")</f>
        <v/>
      </c>
    </row>
    <row r="157" spans="1:9" x14ac:dyDescent="0.3">
      <c r="A157">
        <f t="shared" si="4"/>
        <v>148</v>
      </c>
      <c r="B157" t="str">
        <f t="shared" si="5"/>
        <v>1-148</v>
      </c>
      <c r="C157" t="str">
        <f>IFERROR(VLOOKUP($B157,'Raw Data by WH'!$A$1:$O$999999,15,FALSE),"")</f>
        <v/>
      </c>
      <c r="D157" t="str">
        <f>IFERROR(VLOOKUP($B157,'Raw Data by WH'!$A$1:$O$999999,5,FALSE),"")</f>
        <v/>
      </c>
      <c r="E157" t="str">
        <f>IFERROR(VLOOKUP($B157,'Raw Data by WH'!$A$1:$O$999999,6,FALSE),"")</f>
        <v/>
      </c>
      <c r="F157" s="3" t="str">
        <f>IFERROR(VLOOKUP($B157,'Raw Data by WH'!$A$1:$O$999999,7,FALSE),"")</f>
        <v/>
      </c>
      <c r="G157" s="2" t="str">
        <f>IFERROR(VLOOKUP($B157,'Raw Data by WH'!$A$1:$O$999999,8,FALSE),"")</f>
        <v/>
      </c>
      <c r="H157" s="7" t="str">
        <f>IFERROR(VLOOKUP($B157,'Raw Data by WH'!$A$1:$O$999999,9,FALSE),"")</f>
        <v/>
      </c>
      <c r="I157" s="7" t="str">
        <f>IFERROR(VLOOKUP($B157,'Raw Data by WH'!$A$1:$O$999999,10,FALSE),"")</f>
        <v/>
      </c>
    </row>
    <row r="158" spans="1:9" x14ac:dyDescent="0.3">
      <c r="A158">
        <f t="shared" si="4"/>
        <v>149</v>
      </c>
      <c r="B158" t="str">
        <f t="shared" si="5"/>
        <v>1-149</v>
      </c>
      <c r="C158" t="str">
        <f>IFERROR(VLOOKUP($B158,'Raw Data by WH'!$A$1:$O$999999,15,FALSE),"")</f>
        <v/>
      </c>
      <c r="D158" t="str">
        <f>IFERROR(VLOOKUP($B158,'Raw Data by WH'!$A$1:$O$999999,5,FALSE),"")</f>
        <v/>
      </c>
      <c r="E158" t="str">
        <f>IFERROR(VLOOKUP($B158,'Raw Data by WH'!$A$1:$O$999999,6,FALSE),"")</f>
        <v/>
      </c>
      <c r="F158" s="3" t="str">
        <f>IFERROR(VLOOKUP($B158,'Raw Data by WH'!$A$1:$O$999999,7,FALSE),"")</f>
        <v/>
      </c>
      <c r="G158" s="2" t="str">
        <f>IFERROR(VLOOKUP($B158,'Raw Data by WH'!$A$1:$O$999999,8,FALSE),"")</f>
        <v/>
      </c>
      <c r="H158" s="7" t="str">
        <f>IFERROR(VLOOKUP($B158,'Raw Data by WH'!$A$1:$O$999999,9,FALSE),"")</f>
        <v/>
      </c>
      <c r="I158" s="7" t="str">
        <f>IFERROR(VLOOKUP($B158,'Raw Data by WH'!$A$1:$O$999999,10,FALSE),"")</f>
        <v/>
      </c>
    </row>
    <row r="159" spans="1:9" x14ac:dyDescent="0.3">
      <c r="A159">
        <f t="shared" si="4"/>
        <v>150</v>
      </c>
      <c r="B159" t="str">
        <f t="shared" si="5"/>
        <v>1-150</v>
      </c>
      <c r="C159" t="str">
        <f>IFERROR(VLOOKUP($B159,'Raw Data by WH'!$A$1:$O$999999,15,FALSE),"")</f>
        <v/>
      </c>
      <c r="D159" t="str">
        <f>IFERROR(VLOOKUP($B159,'Raw Data by WH'!$A$1:$O$999999,5,FALSE),"")</f>
        <v/>
      </c>
      <c r="E159" t="str">
        <f>IFERROR(VLOOKUP($B159,'Raw Data by WH'!$A$1:$O$999999,6,FALSE),"")</f>
        <v/>
      </c>
      <c r="F159" s="3" t="str">
        <f>IFERROR(VLOOKUP($B159,'Raw Data by WH'!$A$1:$O$999999,7,FALSE),"")</f>
        <v/>
      </c>
      <c r="G159" s="2" t="str">
        <f>IFERROR(VLOOKUP($B159,'Raw Data by WH'!$A$1:$O$999999,8,FALSE),"")</f>
        <v/>
      </c>
      <c r="H159" s="7" t="str">
        <f>IFERROR(VLOOKUP($B159,'Raw Data by WH'!$A$1:$O$999999,9,FALSE),"")</f>
        <v/>
      </c>
      <c r="I159" s="7" t="str">
        <f>IFERROR(VLOOKUP($B159,'Raw Data by WH'!$A$1:$O$999999,10,FALSE),"")</f>
        <v/>
      </c>
    </row>
    <row r="160" spans="1:9" x14ac:dyDescent="0.3">
      <c r="A160">
        <f t="shared" si="4"/>
        <v>151</v>
      </c>
      <c r="B160" t="str">
        <f t="shared" si="5"/>
        <v>1-151</v>
      </c>
      <c r="C160" t="str">
        <f>IFERROR(VLOOKUP($B160,'Raw Data by WH'!$A$1:$O$999999,15,FALSE),"")</f>
        <v/>
      </c>
      <c r="D160" t="str">
        <f>IFERROR(VLOOKUP($B160,'Raw Data by WH'!$A$1:$O$999999,5,FALSE),"")</f>
        <v/>
      </c>
      <c r="E160" t="str">
        <f>IFERROR(VLOOKUP($B160,'Raw Data by WH'!$A$1:$O$999999,6,FALSE),"")</f>
        <v/>
      </c>
      <c r="F160" s="3" t="str">
        <f>IFERROR(VLOOKUP($B160,'Raw Data by WH'!$A$1:$O$999999,7,FALSE),"")</f>
        <v/>
      </c>
      <c r="G160" s="2" t="str">
        <f>IFERROR(VLOOKUP($B160,'Raw Data by WH'!$A$1:$O$999999,8,FALSE),"")</f>
        <v/>
      </c>
      <c r="H160" s="7" t="str">
        <f>IFERROR(VLOOKUP($B160,'Raw Data by WH'!$A$1:$O$999999,9,FALSE),"")</f>
        <v/>
      </c>
      <c r="I160" s="7" t="str">
        <f>IFERROR(VLOOKUP($B160,'Raw Data by WH'!$A$1:$O$999999,10,FALSE),"")</f>
        <v/>
      </c>
    </row>
    <row r="161" spans="1:9" x14ac:dyDescent="0.3">
      <c r="A161">
        <f t="shared" si="4"/>
        <v>152</v>
      </c>
      <c r="B161" t="str">
        <f t="shared" si="5"/>
        <v>1-152</v>
      </c>
      <c r="C161" t="str">
        <f>IFERROR(VLOOKUP($B161,'Raw Data by WH'!$A$1:$O$999999,15,FALSE),"")</f>
        <v/>
      </c>
      <c r="D161" t="str">
        <f>IFERROR(VLOOKUP($B161,'Raw Data by WH'!$A$1:$O$999999,5,FALSE),"")</f>
        <v/>
      </c>
      <c r="E161" t="str">
        <f>IFERROR(VLOOKUP($B161,'Raw Data by WH'!$A$1:$O$999999,6,FALSE),"")</f>
        <v/>
      </c>
      <c r="F161" s="3" t="str">
        <f>IFERROR(VLOOKUP($B161,'Raw Data by WH'!$A$1:$O$999999,7,FALSE),"")</f>
        <v/>
      </c>
      <c r="G161" s="2" t="str">
        <f>IFERROR(VLOOKUP($B161,'Raw Data by WH'!$A$1:$O$999999,8,FALSE),"")</f>
        <v/>
      </c>
      <c r="H161" s="7" t="str">
        <f>IFERROR(VLOOKUP($B161,'Raw Data by WH'!$A$1:$O$999999,9,FALSE),"")</f>
        <v/>
      </c>
      <c r="I161" s="7" t="str">
        <f>IFERROR(VLOOKUP($B161,'Raw Data by WH'!$A$1:$O$999999,10,FALSE),"")</f>
        <v/>
      </c>
    </row>
    <row r="162" spans="1:9" x14ac:dyDescent="0.3">
      <c r="A162">
        <f t="shared" si="4"/>
        <v>153</v>
      </c>
      <c r="B162" t="str">
        <f t="shared" si="5"/>
        <v>1-153</v>
      </c>
      <c r="C162" t="str">
        <f>IFERROR(VLOOKUP($B162,'Raw Data by WH'!$A$1:$O$999999,15,FALSE),"")</f>
        <v/>
      </c>
      <c r="D162" t="str">
        <f>IFERROR(VLOOKUP($B162,'Raw Data by WH'!$A$1:$O$999999,5,FALSE),"")</f>
        <v/>
      </c>
      <c r="E162" t="str">
        <f>IFERROR(VLOOKUP($B162,'Raw Data by WH'!$A$1:$O$999999,6,FALSE),"")</f>
        <v/>
      </c>
      <c r="F162" s="3" t="str">
        <f>IFERROR(VLOOKUP($B162,'Raw Data by WH'!$A$1:$O$999999,7,FALSE),"")</f>
        <v/>
      </c>
      <c r="G162" s="2" t="str">
        <f>IFERROR(VLOOKUP($B162,'Raw Data by WH'!$A$1:$O$999999,8,FALSE),"")</f>
        <v/>
      </c>
      <c r="H162" s="7" t="str">
        <f>IFERROR(VLOOKUP($B162,'Raw Data by WH'!$A$1:$O$999999,9,FALSE),"")</f>
        <v/>
      </c>
      <c r="I162" s="7" t="str">
        <f>IFERROR(VLOOKUP($B162,'Raw Data by WH'!$A$1:$O$999999,10,FALSE),"")</f>
        <v/>
      </c>
    </row>
    <row r="163" spans="1:9" x14ac:dyDescent="0.3">
      <c r="A163">
        <f t="shared" si="4"/>
        <v>154</v>
      </c>
      <c r="B163" t="str">
        <f t="shared" si="5"/>
        <v>1-154</v>
      </c>
      <c r="C163" t="str">
        <f>IFERROR(VLOOKUP($B163,'Raw Data by WH'!$A$1:$O$999999,15,FALSE),"")</f>
        <v/>
      </c>
      <c r="D163" t="str">
        <f>IFERROR(VLOOKUP($B163,'Raw Data by WH'!$A$1:$O$999999,5,FALSE),"")</f>
        <v/>
      </c>
      <c r="E163" t="str">
        <f>IFERROR(VLOOKUP($B163,'Raw Data by WH'!$A$1:$O$999999,6,FALSE),"")</f>
        <v/>
      </c>
      <c r="F163" s="3" t="str">
        <f>IFERROR(VLOOKUP($B163,'Raw Data by WH'!$A$1:$O$999999,7,FALSE),"")</f>
        <v/>
      </c>
      <c r="G163" s="2" t="str">
        <f>IFERROR(VLOOKUP($B163,'Raw Data by WH'!$A$1:$O$999999,8,FALSE),"")</f>
        <v/>
      </c>
      <c r="H163" s="7" t="str">
        <f>IFERROR(VLOOKUP($B163,'Raw Data by WH'!$A$1:$O$999999,9,FALSE),"")</f>
        <v/>
      </c>
      <c r="I163" s="7" t="str">
        <f>IFERROR(VLOOKUP($B163,'Raw Data by WH'!$A$1:$O$999999,10,FALSE),"")</f>
        <v/>
      </c>
    </row>
    <row r="164" spans="1:9" x14ac:dyDescent="0.3">
      <c r="A164">
        <f t="shared" si="4"/>
        <v>155</v>
      </c>
      <c r="B164" t="str">
        <f t="shared" si="5"/>
        <v>1-155</v>
      </c>
      <c r="C164" t="str">
        <f>IFERROR(VLOOKUP($B164,'Raw Data by WH'!$A$1:$O$999999,15,FALSE),"")</f>
        <v/>
      </c>
      <c r="D164" t="str">
        <f>IFERROR(VLOOKUP($B164,'Raw Data by WH'!$A$1:$O$999999,5,FALSE),"")</f>
        <v/>
      </c>
      <c r="E164" t="str">
        <f>IFERROR(VLOOKUP($B164,'Raw Data by WH'!$A$1:$O$999999,6,FALSE),"")</f>
        <v/>
      </c>
      <c r="F164" s="3" t="str">
        <f>IFERROR(VLOOKUP($B164,'Raw Data by WH'!$A$1:$O$999999,7,FALSE),"")</f>
        <v/>
      </c>
      <c r="G164" s="2" t="str">
        <f>IFERROR(VLOOKUP($B164,'Raw Data by WH'!$A$1:$O$999999,8,FALSE),"")</f>
        <v/>
      </c>
      <c r="H164" s="7" t="str">
        <f>IFERROR(VLOOKUP($B164,'Raw Data by WH'!$A$1:$O$999999,9,FALSE),"")</f>
        <v/>
      </c>
      <c r="I164" s="7" t="str">
        <f>IFERROR(VLOOKUP($B164,'Raw Data by WH'!$A$1:$O$999999,10,FALSE),"")</f>
        <v/>
      </c>
    </row>
    <row r="165" spans="1:9" x14ac:dyDescent="0.3">
      <c r="A165">
        <f t="shared" ref="A165:A228" si="6">A164+1</f>
        <v>156</v>
      </c>
      <c r="B165" t="str">
        <f t="shared" si="5"/>
        <v>1-156</v>
      </c>
      <c r="C165" t="str">
        <f>IFERROR(VLOOKUP($B165,'Raw Data by WH'!$A$1:$O$999999,15,FALSE),"")</f>
        <v/>
      </c>
      <c r="D165" t="str">
        <f>IFERROR(VLOOKUP($B165,'Raw Data by WH'!$A$1:$O$999999,5,FALSE),"")</f>
        <v/>
      </c>
      <c r="E165" t="str">
        <f>IFERROR(VLOOKUP($B165,'Raw Data by WH'!$A$1:$O$999999,6,FALSE),"")</f>
        <v/>
      </c>
      <c r="F165" s="3" t="str">
        <f>IFERROR(VLOOKUP($B165,'Raw Data by WH'!$A$1:$O$999999,7,FALSE),"")</f>
        <v/>
      </c>
      <c r="G165" s="2" t="str">
        <f>IFERROR(VLOOKUP($B165,'Raw Data by WH'!$A$1:$O$999999,8,FALSE),"")</f>
        <v/>
      </c>
      <c r="H165" s="7" t="str">
        <f>IFERROR(VLOOKUP($B165,'Raw Data by WH'!$A$1:$O$999999,9,FALSE),"")</f>
        <v/>
      </c>
      <c r="I165" s="7" t="str">
        <f>IFERROR(VLOOKUP($B165,'Raw Data by WH'!$A$1:$O$999999,10,FALSE),"")</f>
        <v/>
      </c>
    </row>
    <row r="166" spans="1:9" x14ac:dyDescent="0.3">
      <c r="A166">
        <f t="shared" si="6"/>
        <v>157</v>
      </c>
      <c r="B166" t="str">
        <f t="shared" si="5"/>
        <v>1-157</v>
      </c>
      <c r="C166" t="str">
        <f>IFERROR(VLOOKUP($B166,'Raw Data by WH'!$A$1:$O$999999,15,FALSE),"")</f>
        <v/>
      </c>
      <c r="D166" t="str">
        <f>IFERROR(VLOOKUP($B166,'Raw Data by WH'!$A$1:$O$999999,5,FALSE),"")</f>
        <v/>
      </c>
      <c r="E166" t="str">
        <f>IFERROR(VLOOKUP($B166,'Raw Data by WH'!$A$1:$O$999999,6,FALSE),"")</f>
        <v/>
      </c>
      <c r="F166" s="3" t="str">
        <f>IFERROR(VLOOKUP($B166,'Raw Data by WH'!$A$1:$O$999999,7,FALSE),"")</f>
        <v/>
      </c>
      <c r="G166" s="2" t="str">
        <f>IFERROR(VLOOKUP($B166,'Raw Data by WH'!$A$1:$O$999999,8,FALSE),"")</f>
        <v/>
      </c>
      <c r="H166" s="7" t="str">
        <f>IFERROR(VLOOKUP($B166,'Raw Data by WH'!$A$1:$O$999999,9,FALSE),"")</f>
        <v/>
      </c>
      <c r="I166" s="7" t="str">
        <f>IFERROR(VLOOKUP($B166,'Raw Data by WH'!$A$1:$O$999999,10,FALSE),"")</f>
        <v/>
      </c>
    </row>
    <row r="167" spans="1:9" x14ac:dyDescent="0.3">
      <c r="A167">
        <f t="shared" si="6"/>
        <v>158</v>
      </c>
      <c r="B167" t="str">
        <f t="shared" si="5"/>
        <v>1-158</v>
      </c>
      <c r="C167" t="str">
        <f>IFERROR(VLOOKUP($B167,'Raw Data by WH'!$A$1:$O$999999,15,FALSE),"")</f>
        <v/>
      </c>
      <c r="D167" t="str">
        <f>IFERROR(VLOOKUP($B167,'Raw Data by WH'!$A$1:$O$999999,5,FALSE),"")</f>
        <v/>
      </c>
      <c r="E167" t="str">
        <f>IFERROR(VLOOKUP($B167,'Raw Data by WH'!$A$1:$O$999999,6,FALSE),"")</f>
        <v/>
      </c>
      <c r="F167" s="3" t="str">
        <f>IFERROR(VLOOKUP($B167,'Raw Data by WH'!$A$1:$O$999999,7,FALSE),"")</f>
        <v/>
      </c>
      <c r="G167" s="2" t="str">
        <f>IFERROR(VLOOKUP($B167,'Raw Data by WH'!$A$1:$O$999999,8,FALSE),"")</f>
        <v/>
      </c>
      <c r="H167" s="7" t="str">
        <f>IFERROR(VLOOKUP($B167,'Raw Data by WH'!$A$1:$O$999999,9,FALSE),"")</f>
        <v/>
      </c>
      <c r="I167" s="7" t="str">
        <f>IFERROR(VLOOKUP($B167,'Raw Data by WH'!$A$1:$O$999999,10,FALSE),"")</f>
        <v/>
      </c>
    </row>
    <row r="168" spans="1:9" x14ac:dyDescent="0.3">
      <c r="A168">
        <f t="shared" si="6"/>
        <v>159</v>
      </c>
      <c r="B168" t="str">
        <f t="shared" si="5"/>
        <v>1-159</v>
      </c>
      <c r="C168" t="str">
        <f>IFERROR(VLOOKUP($B168,'Raw Data by WH'!$A$1:$O$999999,15,FALSE),"")</f>
        <v/>
      </c>
      <c r="D168" t="str">
        <f>IFERROR(VLOOKUP($B168,'Raw Data by WH'!$A$1:$O$999999,5,FALSE),"")</f>
        <v/>
      </c>
      <c r="E168" t="str">
        <f>IFERROR(VLOOKUP($B168,'Raw Data by WH'!$A$1:$O$999999,6,FALSE),"")</f>
        <v/>
      </c>
      <c r="F168" s="3" t="str">
        <f>IFERROR(VLOOKUP($B168,'Raw Data by WH'!$A$1:$O$999999,7,FALSE),"")</f>
        <v/>
      </c>
      <c r="G168" s="2" t="str">
        <f>IFERROR(VLOOKUP($B168,'Raw Data by WH'!$A$1:$O$999999,8,FALSE),"")</f>
        <v/>
      </c>
      <c r="H168" s="7" t="str">
        <f>IFERROR(VLOOKUP($B168,'Raw Data by WH'!$A$1:$O$999999,9,FALSE),"")</f>
        <v/>
      </c>
      <c r="I168" s="7" t="str">
        <f>IFERROR(VLOOKUP($B168,'Raw Data by WH'!$A$1:$O$999999,10,FALSE),"")</f>
        <v/>
      </c>
    </row>
    <row r="169" spans="1:9" x14ac:dyDescent="0.3">
      <c r="A169">
        <f t="shared" si="6"/>
        <v>160</v>
      </c>
      <c r="B169" t="str">
        <f t="shared" si="5"/>
        <v>1-160</v>
      </c>
      <c r="C169" t="str">
        <f>IFERROR(VLOOKUP($B169,'Raw Data by WH'!$A$1:$O$999999,15,FALSE),"")</f>
        <v/>
      </c>
      <c r="D169" t="str">
        <f>IFERROR(VLOOKUP($B169,'Raw Data by WH'!$A$1:$O$999999,5,FALSE),"")</f>
        <v/>
      </c>
      <c r="E169" t="str">
        <f>IFERROR(VLOOKUP($B169,'Raw Data by WH'!$A$1:$O$999999,6,FALSE),"")</f>
        <v/>
      </c>
      <c r="F169" s="3" t="str">
        <f>IFERROR(VLOOKUP($B169,'Raw Data by WH'!$A$1:$O$999999,7,FALSE),"")</f>
        <v/>
      </c>
      <c r="G169" s="2" t="str">
        <f>IFERROR(VLOOKUP($B169,'Raw Data by WH'!$A$1:$O$999999,8,FALSE),"")</f>
        <v/>
      </c>
      <c r="H169" s="7" t="str">
        <f>IFERROR(VLOOKUP($B169,'Raw Data by WH'!$A$1:$O$999999,9,FALSE),"")</f>
        <v/>
      </c>
      <c r="I169" s="7" t="str">
        <f>IFERROR(VLOOKUP($B169,'Raw Data by WH'!$A$1:$O$999999,10,FALSE),"")</f>
        <v/>
      </c>
    </row>
    <row r="170" spans="1:9" x14ac:dyDescent="0.3">
      <c r="A170">
        <f t="shared" si="6"/>
        <v>161</v>
      </c>
      <c r="B170" t="str">
        <f t="shared" si="5"/>
        <v>1-161</v>
      </c>
      <c r="C170" t="str">
        <f>IFERROR(VLOOKUP($B170,'Raw Data by WH'!$A$1:$O$999999,15,FALSE),"")</f>
        <v/>
      </c>
      <c r="D170" t="str">
        <f>IFERROR(VLOOKUP($B170,'Raw Data by WH'!$A$1:$O$999999,5,FALSE),"")</f>
        <v/>
      </c>
      <c r="E170" t="str">
        <f>IFERROR(VLOOKUP($B170,'Raw Data by WH'!$A$1:$O$999999,6,FALSE),"")</f>
        <v/>
      </c>
      <c r="F170" s="3" t="str">
        <f>IFERROR(VLOOKUP($B170,'Raw Data by WH'!$A$1:$O$999999,7,FALSE),"")</f>
        <v/>
      </c>
      <c r="G170" s="2" t="str">
        <f>IFERROR(VLOOKUP($B170,'Raw Data by WH'!$A$1:$O$999999,8,FALSE),"")</f>
        <v/>
      </c>
      <c r="H170" s="7" t="str">
        <f>IFERROR(VLOOKUP($B170,'Raw Data by WH'!$A$1:$O$999999,9,FALSE),"")</f>
        <v/>
      </c>
      <c r="I170" s="7" t="str">
        <f>IFERROR(VLOOKUP($B170,'Raw Data by WH'!$A$1:$O$999999,10,FALSE),"")</f>
        <v/>
      </c>
    </row>
    <row r="171" spans="1:9" x14ac:dyDescent="0.3">
      <c r="A171">
        <f t="shared" si="6"/>
        <v>162</v>
      </c>
      <c r="B171" t="str">
        <f t="shared" si="5"/>
        <v>1-162</v>
      </c>
      <c r="C171" t="str">
        <f>IFERROR(VLOOKUP($B171,'Raw Data by WH'!$A$1:$O$999999,15,FALSE),"")</f>
        <v/>
      </c>
      <c r="D171" t="str">
        <f>IFERROR(VLOOKUP($B171,'Raw Data by WH'!$A$1:$O$999999,5,FALSE),"")</f>
        <v/>
      </c>
      <c r="E171" t="str">
        <f>IFERROR(VLOOKUP($B171,'Raw Data by WH'!$A$1:$O$999999,6,FALSE),"")</f>
        <v/>
      </c>
      <c r="F171" s="3" t="str">
        <f>IFERROR(VLOOKUP($B171,'Raw Data by WH'!$A$1:$O$999999,7,FALSE),"")</f>
        <v/>
      </c>
      <c r="G171" s="2" t="str">
        <f>IFERROR(VLOOKUP($B171,'Raw Data by WH'!$A$1:$O$999999,8,FALSE),"")</f>
        <v/>
      </c>
      <c r="H171" s="7" t="str">
        <f>IFERROR(VLOOKUP($B171,'Raw Data by WH'!$A$1:$O$999999,9,FALSE),"")</f>
        <v/>
      </c>
      <c r="I171" s="7" t="str">
        <f>IFERROR(VLOOKUP($B171,'Raw Data by WH'!$A$1:$O$999999,10,FALSE),"")</f>
        <v/>
      </c>
    </row>
    <row r="172" spans="1:9" x14ac:dyDescent="0.3">
      <c r="A172">
        <f t="shared" si="6"/>
        <v>163</v>
      </c>
      <c r="B172" t="str">
        <f t="shared" si="5"/>
        <v>1-163</v>
      </c>
      <c r="C172" t="str">
        <f>IFERROR(VLOOKUP($B172,'Raw Data by WH'!$A$1:$O$999999,15,FALSE),"")</f>
        <v/>
      </c>
      <c r="D172" t="str">
        <f>IFERROR(VLOOKUP($B172,'Raw Data by WH'!$A$1:$O$999999,5,FALSE),"")</f>
        <v/>
      </c>
      <c r="E172" t="str">
        <f>IFERROR(VLOOKUP($B172,'Raw Data by WH'!$A$1:$O$999999,6,FALSE),"")</f>
        <v/>
      </c>
      <c r="F172" s="3" t="str">
        <f>IFERROR(VLOOKUP($B172,'Raw Data by WH'!$A$1:$O$999999,7,FALSE),"")</f>
        <v/>
      </c>
      <c r="G172" s="2" t="str">
        <f>IFERROR(VLOOKUP($B172,'Raw Data by WH'!$A$1:$O$999999,8,FALSE),"")</f>
        <v/>
      </c>
      <c r="H172" s="7" t="str">
        <f>IFERROR(VLOOKUP($B172,'Raw Data by WH'!$A$1:$O$999999,9,FALSE),"")</f>
        <v/>
      </c>
      <c r="I172" s="7" t="str">
        <f>IFERROR(VLOOKUP($B172,'Raw Data by WH'!$A$1:$O$999999,10,FALSE),"")</f>
        <v/>
      </c>
    </row>
    <row r="173" spans="1:9" x14ac:dyDescent="0.3">
      <c r="A173">
        <f t="shared" si="6"/>
        <v>164</v>
      </c>
      <c r="B173" t="str">
        <f t="shared" si="5"/>
        <v>1-164</v>
      </c>
      <c r="C173" t="str">
        <f>IFERROR(VLOOKUP($B173,'Raw Data by WH'!$A$1:$O$999999,15,FALSE),"")</f>
        <v/>
      </c>
      <c r="D173" t="str">
        <f>IFERROR(VLOOKUP($B173,'Raw Data by WH'!$A$1:$O$999999,5,FALSE),"")</f>
        <v/>
      </c>
      <c r="E173" t="str">
        <f>IFERROR(VLOOKUP($B173,'Raw Data by WH'!$A$1:$O$999999,6,FALSE),"")</f>
        <v/>
      </c>
      <c r="F173" s="3" t="str">
        <f>IFERROR(VLOOKUP($B173,'Raw Data by WH'!$A$1:$O$999999,7,FALSE),"")</f>
        <v/>
      </c>
      <c r="G173" s="2" t="str">
        <f>IFERROR(VLOOKUP($B173,'Raw Data by WH'!$A$1:$O$999999,8,FALSE),"")</f>
        <v/>
      </c>
      <c r="H173" s="7" t="str">
        <f>IFERROR(VLOOKUP($B173,'Raw Data by WH'!$A$1:$O$999999,9,FALSE),"")</f>
        <v/>
      </c>
      <c r="I173" s="7" t="str">
        <f>IFERROR(VLOOKUP($B173,'Raw Data by WH'!$A$1:$O$999999,10,FALSE),"")</f>
        <v/>
      </c>
    </row>
    <row r="174" spans="1:9" x14ac:dyDescent="0.3">
      <c r="A174">
        <f t="shared" si="6"/>
        <v>165</v>
      </c>
      <c r="B174" t="str">
        <f t="shared" si="5"/>
        <v>1-165</v>
      </c>
      <c r="C174" t="str">
        <f>IFERROR(VLOOKUP($B174,'Raw Data by WH'!$A$1:$O$999999,15,FALSE),"")</f>
        <v/>
      </c>
      <c r="D174" t="str">
        <f>IFERROR(VLOOKUP($B174,'Raw Data by WH'!$A$1:$O$999999,5,FALSE),"")</f>
        <v/>
      </c>
      <c r="E174" t="str">
        <f>IFERROR(VLOOKUP($B174,'Raw Data by WH'!$A$1:$O$999999,6,FALSE),"")</f>
        <v/>
      </c>
      <c r="F174" s="3" t="str">
        <f>IFERROR(VLOOKUP($B174,'Raw Data by WH'!$A$1:$O$999999,7,FALSE),"")</f>
        <v/>
      </c>
      <c r="G174" s="2" t="str">
        <f>IFERROR(VLOOKUP($B174,'Raw Data by WH'!$A$1:$O$999999,8,FALSE),"")</f>
        <v/>
      </c>
      <c r="H174" s="7" t="str">
        <f>IFERROR(VLOOKUP($B174,'Raw Data by WH'!$A$1:$O$999999,9,FALSE),"")</f>
        <v/>
      </c>
      <c r="I174" s="7" t="str">
        <f>IFERROR(VLOOKUP($B174,'Raw Data by WH'!$A$1:$O$999999,10,FALSE),"")</f>
        <v/>
      </c>
    </row>
    <row r="175" spans="1:9" x14ac:dyDescent="0.3">
      <c r="A175">
        <f t="shared" si="6"/>
        <v>166</v>
      </c>
      <c r="B175" t="str">
        <f t="shared" si="5"/>
        <v>1-166</v>
      </c>
      <c r="C175" t="str">
        <f>IFERROR(VLOOKUP($B175,'Raw Data by WH'!$A$1:$O$999999,15,FALSE),"")</f>
        <v/>
      </c>
      <c r="D175" t="str">
        <f>IFERROR(VLOOKUP($B175,'Raw Data by WH'!$A$1:$O$999999,5,FALSE),"")</f>
        <v/>
      </c>
      <c r="E175" t="str">
        <f>IFERROR(VLOOKUP($B175,'Raw Data by WH'!$A$1:$O$999999,6,FALSE),"")</f>
        <v/>
      </c>
      <c r="F175" s="3" t="str">
        <f>IFERROR(VLOOKUP($B175,'Raw Data by WH'!$A$1:$O$999999,7,FALSE),"")</f>
        <v/>
      </c>
      <c r="G175" s="2" t="str">
        <f>IFERROR(VLOOKUP($B175,'Raw Data by WH'!$A$1:$O$999999,8,FALSE),"")</f>
        <v/>
      </c>
      <c r="H175" s="7" t="str">
        <f>IFERROR(VLOOKUP($B175,'Raw Data by WH'!$A$1:$O$999999,9,FALSE),"")</f>
        <v/>
      </c>
      <c r="I175" s="7" t="str">
        <f>IFERROR(VLOOKUP($B175,'Raw Data by WH'!$A$1:$O$999999,10,FALSE),"")</f>
        <v/>
      </c>
    </row>
    <row r="176" spans="1:9" x14ac:dyDescent="0.3">
      <c r="A176">
        <f t="shared" si="6"/>
        <v>167</v>
      </c>
      <c r="B176" t="str">
        <f t="shared" si="5"/>
        <v>1-167</v>
      </c>
      <c r="C176" t="str">
        <f>IFERROR(VLOOKUP($B176,'Raw Data by WH'!$A$1:$O$999999,15,FALSE),"")</f>
        <v/>
      </c>
      <c r="D176" t="str">
        <f>IFERROR(VLOOKUP($B176,'Raw Data by WH'!$A$1:$O$999999,5,FALSE),"")</f>
        <v/>
      </c>
      <c r="E176" t="str">
        <f>IFERROR(VLOOKUP($B176,'Raw Data by WH'!$A$1:$O$999999,6,FALSE),"")</f>
        <v/>
      </c>
      <c r="F176" s="3" t="str">
        <f>IFERROR(VLOOKUP($B176,'Raw Data by WH'!$A$1:$O$999999,7,FALSE),"")</f>
        <v/>
      </c>
      <c r="G176" s="2" t="str">
        <f>IFERROR(VLOOKUP($B176,'Raw Data by WH'!$A$1:$O$999999,8,FALSE),"")</f>
        <v/>
      </c>
      <c r="H176" s="7" t="str">
        <f>IFERROR(VLOOKUP($B176,'Raw Data by WH'!$A$1:$O$999999,9,FALSE),"")</f>
        <v/>
      </c>
      <c r="I176" s="7" t="str">
        <f>IFERROR(VLOOKUP($B176,'Raw Data by WH'!$A$1:$O$999999,10,FALSE),"")</f>
        <v/>
      </c>
    </row>
    <row r="177" spans="1:9" x14ac:dyDescent="0.3">
      <c r="A177">
        <f t="shared" si="6"/>
        <v>168</v>
      </c>
      <c r="B177" t="str">
        <f t="shared" si="5"/>
        <v>1-168</v>
      </c>
      <c r="C177" t="str">
        <f>IFERROR(VLOOKUP($B177,'Raw Data by WH'!$A$1:$O$999999,15,FALSE),"")</f>
        <v/>
      </c>
      <c r="D177" t="str">
        <f>IFERROR(VLOOKUP($B177,'Raw Data by WH'!$A$1:$O$999999,5,FALSE),"")</f>
        <v/>
      </c>
      <c r="E177" t="str">
        <f>IFERROR(VLOOKUP($B177,'Raw Data by WH'!$A$1:$O$999999,6,FALSE),"")</f>
        <v/>
      </c>
      <c r="F177" s="3" t="str">
        <f>IFERROR(VLOOKUP($B177,'Raw Data by WH'!$A$1:$O$999999,7,FALSE),"")</f>
        <v/>
      </c>
      <c r="G177" s="2" t="str">
        <f>IFERROR(VLOOKUP($B177,'Raw Data by WH'!$A$1:$O$999999,8,FALSE),"")</f>
        <v/>
      </c>
      <c r="H177" s="7" t="str">
        <f>IFERROR(VLOOKUP($B177,'Raw Data by WH'!$A$1:$O$999999,9,FALSE),"")</f>
        <v/>
      </c>
      <c r="I177" s="7" t="str">
        <f>IFERROR(VLOOKUP($B177,'Raw Data by WH'!$A$1:$O$999999,10,FALSE),"")</f>
        <v/>
      </c>
    </row>
    <row r="178" spans="1:9" x14ac:dyDescent="0.3">
      <c r="A178">
        <f t="shared" si="6"/>
        <v>169</v>
      </c>
      <c r="B178" t="str">
        <f t="shared" si="5"/>
        <v>1-169</v>
      </c>
      <c r="C178" t="str">
        <f>IFERROR(VLOOKUP($B178,'Raw Data by WH'!$A$1:$O$999999,15,FALSE),"")</f>
        <v/>
      </c>
      <c r="D178" t="str">
        <f>IFERROR(VLOOKUP($B178,'Raw Data by WH'!$A$1:$O$999999,5,FALSE),"")</f>
        <v/>
      </c>
      <c r="E178" t="str">
        <f>IFERROR(VLOOKUP($B178,'Raw Data by WH'!$A$1:$O$999999,6,FALSE),"")</f>
        <v/>
      </c>
      <c r="F178" s="3" t="str">
        <f>IFERROR(VLOOKUP($B178,'Raw Data by WH'!$A$1:$O$999999,7,FALSE),"")</f>
        <v/>
      </c>
      <c r="G178" s="2" t="str">
        <f>IFERROR(VLOOKUP($B178,'Raw Data by WH'!$A$1:$O$999999,8,FALSE),"")</f>
        <v/>
      </c>
      <c r="H178" s="7" t="str">
        <f>IFERROR(VLOOKUP($B178,'Raw Data by WH'!$A$1:$O$999999,9,FALSE),"")</f>
        <v/>
      </c>
      <c r="I178" s="7" t="str">
        <f>IFERROR(VLOOKUP($B178,'Raw Data by WH'!$A$1:$O$999999,10,FALSE),"")</f>
        <v/>
      </c>
    </row>
    <row r="179" spans="1:9" x14ac:dyDescent="0.3">
      <c r="A179">
        <f t="shared" si="6"/>
        <v>170</v>
      </c>
      <c r="B179" t="str">
        <f t="shared" si="5"/>
        <v>1-170</v>
      </c>
      <c r="C179" t="str">
        <f>IFERROR(VLOOKUP($B179,'Raw Data by WH'!$A$1:$O$999999,15,FALSE),"")</f>
        <v/>
      </c>
      <c r="D179" t="str">
        <f>IFERROR(VLOOKUP($B179,'Raw Data by WH'!$A$1:$O$999999,5,FALSE),"")</f>
        <v/>
      </c>
      <c r="E179" t="str">
        <f>IFERROR(VLOOKUP($B179,'Raw Data by WH'!$A$1:$O$999999,6,FALSE),"")</f>
        <v/>
      </c>
      <c r="F179" s="3" t="str">
        <f>IFERROR(VLOOKUP($B179,'Raw Data by WH'!$A$1:$O$999999,7,FALSE),"")</f>
        <v/>
      </c>
      <c r="G179" s="2" t="str">
        <f>IFERROR(VLOOKUP($B179,'Raw Data by WH'!$A$1:$O$999999,8,FALSE),"")</f>
        <v/>
      </c>
      <c r="H179" s="7" t="str">
        <f>IFERROR(VLOOKUP($B179,'Raw Data by WH'!$A$1:$O$999999,9,FALSE),"")</f>
        <v/>
      </c>
      <c r="I179" s="7" t="str">
        <f>IFERROR(VLOOKUP($B179,'Raw Data by WH'!$A$1:$O$999999,10,FALSE),"")</f>
        <v/>
      </c>
    </row>
    <row r="180" spans="1:9" x14ac:dyDescent="0.3">
      <c r="A180">
        <f t="shared" si="6"/>
        <v>171</v>
      </c>
      <c r="B180" t="str">
        <f t="shared" si="5"/>
        <v>1-171</v>
      </c>
      <c r="C180" t="str">
        <f>IFERROR(VLOOKUP($B180,'Raw Data by WH'!$A$1:$O$999999,15,FALSE),"")</f>
        <v/>
      </c>
      <c r="D180" t="str">
        <f>IFERROR(VLOOKUP($B180,'Raw Data by WH'!$A$1:$O$999999,5,FALSE),"")</f>
        <v/>
      </c>
      <c r="E180" t="str">
        <f>IFERROR(VLOOKUP($B180,'Raw Data by WH'!$A$1:$O$999999,6,FALSE),"")</f>
        <v/>
      </c>
      <c r="F180" s="3" t="str">
        <f>IFERROR(VLOOKUP($B180,'Raw Data by WH'!$A$1:$O$999999,7,FALSE),"")</f>
        <v/>
      </c>
      <c r="G180" s="2" t="str">
        <f>IFERROR(VLOOKUP($B180,'Raw Data by WH'!$A$1:$O$999999,8,FALSE),"")</f>
        <v/>
      </c>
      <c r="H180" s="7" t="str">
        <f>IFERROR(VLOOKUP($B180,'Raw Data by WH'!$A$1:$O$999999,9,FALSE),"")</f>
        <v/>
      </c>
      <c r="I180" s="7" t="str">
        <f>IFERROR(VLOOKUP($B180,'Raw Data by WH'!$A$1:$O$999999,10,FALSE),"")</f>
        <v/>
      </c>
    </row>
    <row r="181" spans="1:9" x14ac:dyDescent="0.3">
      <c r="A181">
        <f t="shared" si="6"/>
        <v>172</v>
      </c>
      <c r="B181" t="str">
        <f t="shared" si="5"/>
        <v>1-172</v>
      </c>
      <c r="C181" t="str">
        <f>IFERROR(VLOOKUP($B181,'Raw Data by WH'!$A$1:$O$999999,15,FALSE),"")</f>
        <v/>
      </c>
      <c r="D181" t="str">
        <f>IFERROR(VLOOKUP($B181,'Raw Data by WH'!$A$1:$O$999999,5,FALSE),"")</f>
        <v/>
      </c>
      <c r="E181" t="str">
        <f>IFERROR(VLOOKUP($B181,'Raw Data by WH'!$A$1:$O$999999,6,FALSE),"")</f>
        <v/>
      </c>
      <c r="F181" s="3" t="str">
        <f>IFERROR(VLOOKUP($B181,'Raw Data by WH'!$A$1:$O$999999,7,FALSE),"")</f>
        <v/>
      </c>
      <c r="G181" s="2" t="str">
        <f>IFERROR(VLOOKUP($B181,'Raw Data by WH'!$A$1:$O$999999,8,FALSE),"")</f>
        <v/>
      </c>
      <c r="H181" s="7" t="str">
        <f>IFERROR(VLOOKUP($B181,'Raw Data by WH'!$A$1:$O$999999,9,FALSE),"")</f>
        <v/>
      </c>
      <c r="I181" s="7" t="str">
        <f>IFERROR(VLOOKUP($B181,'Raw Data by WH'!$A$1:$O$999999,10,FALSE),"")</f>
        <v/>
      </c>
    </row>
    <row r="182" spans="1:9" x14ac:dyDescent="0.3">
      <c r="A182">
        <f t="shared" si="6"/>
        <v>173</v>
      </c>
      <c r="B182" t="str">
        <f t="shared" si="5"/>
        <v>1-173</v>
      </c>
      <c r="C182" t="str">
        <f>IFERROR(VLOOKUP($B182,'Raw Data by WH'!$A$1:$O$999999,15,FALSE),"")</f>
        <v/>
      </c>
      <c r="D182" t="str">
        <f>IFERROR(VLOOKUP($B182,'Raw Data by WH'!$A$1:$O$999999,5,FALSE),"")</f>
        <v/>
      </c>
      <c r="E182" t="str">
        <f>IFERROR(VLOOKUP($B182,'Raw Data by WH'!$A$1:$O$999999,6,FALSE),"")</f>
        <v/>
      </c>
      <c r="F182" s="3" t="str">
        <f>IFERROR(VLOOKUP($B182,'Raw Data by WH'!$A$1:$O$999999,7,FALSE),"")</f>
        <v/>
      </c>
      <c r="G182" s="2" t="str">
        <f>IFERROR(VLOOKUP($B182,'Raw Data by WH'!$A$1:$O$999999,8,FALSE),"")</f>
        <v/>
      </c>
      <c r="H182" s="7" t="str">
        <f>IFERROR(VLOOKUP($B182,'Raw Data by WH'!$A$1:$O$999999,9,FALSE),"")</f>
        <v/>
      </c>
      <c r="I182" s="7" t="str">
        <f>IFERROR(VLOOKUP($B182,'Raw Data by WH'!$A$1:$O$999999,10,FALSE),"")</f>
        <v/>
      </c>
    </row>
    <row r="183" spans="1:9" x14ac:dyDescent="0.3">
      <c r="A183">
        <f t="shared" si="6"/>
        <v>174</v>
      </c>
      <c r="B183" t="str">
        <f t="shared" ref="B183:B246" si="7">$D$1&amp;"-"&amp;A183</f>
        <v>1-174</v>
      </c>
      <c r="C183" t="str">
        <f>IFERROR(VLOOKUP($B183,'Raw Data by WH'!$A$1:$O$999999,15,FALSE),"")</f>
        <v/>
      </c>
      <c r="D183" t="str">
        <f>IFERROR(VLOOKUP($B183,'Raw Data by WH'!$A$1:$O$999999,5,FALSE),"")</f>
        <v/>
      </c>
      <c r="E183" t="str">
        <f>IFERROR(VLOOKUP($B183,'Raw Data by WH'!$A$1:$O$999999,6,FALSE),"")</f>
        <v/>
      </c>
      <c r="F183" s="3" t="str">
        <f>IFERROR(VLOOKUP($B183,'Raw Data by WH'!$A$1:$O$999999,7,FALSE),"")</f>
        <v/>
      </c>
      <c r="G183" s="2" t="str">
        <f>IFERROR(VLOOKUP($B183,'Raw Data by WH'!$A$1:$O$999999,8,FALSE),"")</f>
        <v/>
      </c>
      <c r="H183" s="7" t="str">
        <f>IFERROR(VLOOKUP($B183,'Raw Data by WH'!$A$1:$O$999999,9,FALSE),"")</f>
        <v/>
      </c>
      <c r="I183" s="7" t="str">
        <f>IFERROR(VLOOKUP($B183,'Raw Data by WH'!$A$1:$O$999999,10,FALSE),"")</f>
        <v/>
      </c>
    </row>
    <row r="184" spans="1:9" x14ac:dyDescent="0.3">
      <c r="A184">
        <f t="shared" si="6"/>
        <v>175</v>
      </c>
      <c r="B184" t="str">
        <f t="shared" si="7"/>
        <v>1-175</v>
      </c>
      <c r="C184" t="str">
        <f>IFERROR(VLOOKUP($B184,'Raw Data by WH'!$A$1:$O$999999,15,FALSE),"")</f>
        <v/>
      </c>
      <c r="D184" t="str">
        <f>IFERROR(VLOOKUP($B184,'Raw Data by WH'!$A$1:$O$999999,5,FALSE),"")</f>
        <v/>
      </c>
      <c r="E184" t="str">
        <f>IFERROR(VLOOKUP($B184,'Raw Data by WH'!$A$1:$O$999999,6,FALSE),"")</f>
        <v/>
      </c>
      <c r="F184" s="3" t="str">
        <f>IFERROR(VLOOKUP($B184,'Raw Data by WH'!$A$1:$O$999999,7,FALSE),"")</f>
        <v/>
      </c>
      <c r="G184" s="2" t="str">
        <f>IFERROR(VLOOKUP($B184,'Raw Data by WH'!$A$1:$O$999999,8,FALSE),"")</f>
        <v/>
      </c>
      <c r="H184" s="7" t="str">
        <f>IFERROR(VLOOKUP($B184,'Raw Data by WH'!$A$1:$O$999999,9,FALSE),"")</f>
        <v/>
      </c>
      <c r="I184" s="7" t="str">
        <f>IFERROR(VLOOKUP($B184,'Raw Data by WH'!$A$1:$O$999999,10,FALSE),"")</f>
        <v/>
      </c>
    </row>
    <row r="185" spans="1:9" x14ac:dyDescent="0.3">
      <c r="A185">
        <f t="shared" si="6"/>
        <v>176</v>
      </c>
      <c r="B185" t="str">
        <f t="shared" si="7"/>
        <v>1-176</v>
      </c>
      <c r="C185" t="str">
        <f>IFERROR(VLOOKUP($B185,'Raw Data by WH'!$A$1:$O$999999,15,FALSE),"")</f>
        <v/>
      </c>
      <c r="D185" t="str">
        <f>IFERROR(VLOOKUP($B185,'Raw Data by WH'!$A$1:$O$999999,5,FALSE),"")</f>
        <v/>
      </c>
      <c r="E185" t="str">
        <f>IFERROR(VLOOKUP($B185,'Raw Data by WH'!$A$1:$O$999999,6,FALSE),"")</f>
        <v/>
      </c>
      <c r="F185" s="3" t="str">
        <f>IFERROR(VLOOKUP($B185,'Raw Data by WH'!$A$1:$O$999999,7,FALSE),"")</f>
        <v/>
      </c>
      <c r="G185" s="2" t="str">
        <f>IFERROR(VLOOKUP($B185,'Raw Data by WH'!$A$1:$O$999999,8,FALSE),"")</f>
        <v/>
      </c>
      <c r="H185" s="7" t="str">
        <f>IFERROR(VLOOKUP($B185,'Raw Data by WH'!$A$1:$O$999999,9,FALSE),"")</f>
        <v/>
      </c>
      <c r="I185" s="7" t="str">
        <f>IFERROR(VLOOKUP($B185,'Raw Data by WH'!$A$1:$O$999999,10,FALSE),"")</f>
        <v/>
      </c>
    </row>
    <row r="186" spans="1:9" x14ac:dyDescent="0.3">
      <c r="A186">
        <f t="shared" si="6"/>
        <v>177</v>
      </c>
      <c r="B186" t="str">
        <f t="shared" si="7"/>
        <v>1-177</v>
      </c>
      <c r="C186" t="str">
        <f>IFERROR(VLOOKUP($B186,'Raw Data by WH'!$A$1:$O$999999,15,FALSE),"")</f>
        <v/>
      </c>
      <c r="D186" t="str">
        <f>IFERROR(VLOOKUP($B186,'Raw Data by WH'!$A$1:$O$999999,5,FALSE),"")</f>
        <v/>
      </c>
      <c r="E186" t="str">
        <f>IFERROR(VLOOKUP($B186,'Raw Data by WH'!$A$1:$O$999999,6,FALSE),"")</f>
        <v/>
      </c>
      <c r="F186" s="3" t="str">
        <f>IFERROR(VLOOKUP($B186,'Raw Data by WH'!$A$1:$O$999999,7,FALSE),"")</f>
        <v/>
      </c>
      <c r="G186" s="2" t="str">
        <f>IFERROR(VLOOKUP($B186,'Raw Data by WH'!$A$1:$O$999999,8,FALSE),"")</f>
        <v/>
      </c>
      <c r="H186" s="7" t="str">
        <f>IFERROR(VLOOKUP($B186,'Raw Data by WH'!$A$1:$O$999999,9,FALSE),"")</f>
        <v/>
      </c>
      <c r="I186" s="7" t="str">
        <f>IFERROR(VLOOKUP($B186,'Raw Data by WH'!$A$1:$O$999999,10,FALSE),"")</f>
        <v/>
      </c>
    </row>
    <row r="187" spans="1:9" x14ac:dyDescent="0.3">
      <c r="A187">
        <f t="shared" si="6"/>
        <v>178</v>
      </c>
      <c r="B187" t="str">
        <f t="shared" si="7"/>
        <v>1-178</v>
      </c>
      <c r="C187" t="str">
        <f>IFERROR(VLOOKUP($B187,'Raw Data by WH'!$A$1:$O$999999,15,FALSE),"")</f>
        <v/>
      </c>
      <c r="D187" t="str">
        <f>IFERROR(VLOOKUP($B187,'Raw Data by WH'!$A$1:$O$999999,5,FALSE),"")</f>
        <v/>
      </c>
      <c r="E187" t="str">
        <f>IFERROR(VLOOKUP($B187,'Raw Data by WH'!$A$1:$O$999999,6,FALSE),"")</f>
        <v/>
      </c>
      <c r="F187" s="3" t="str">
        <f>IFERROR(VLOOKUP($B187,'Raw Data by WH'!$A$1:$O$999999,7,FALSE),"")</f>
        <v/>
      </c>
      <c r="G187" s="2" t="str">
        <f>IFERROR(VLOOKUP($B187,'Raw Data by WH'!$A$1:$O$999999,8,FALSE),"")</f>
        <v/>
      </c>
      <c r="H187" s="7" t="str">
        <f>IFERROR(VLOOKUP($B187,'Raw Data by WH'!$A$1:$O$999999,9,FALSE),"")</f>
        <v/>
      </c>
      <c r="I187" s="7" t="str">
        <f>IFERROR(VLOOKUP($B187,'Raw Data by WH'!$A$1:$O$999999,10,FALSE),"")</f>
        <v/>
      </c>
    </row>
    <row r="188" spans="1:9" x14ac:dyDescent="0.3">
      <c r="A188">
        <f t="shared" si="6"/>
        <v>179</v>
      </c>
      <c r="B188" t="str">
        <f t="shared" si="7"/>
        <v>1-179</v>
      </c>
      <c r="C188" t="str">
        <f>IFERROR(VLOOKUP($B188,'Raw Data by WH'!$A$1:$O$999999,15,FALSE),"")</f>
        <v/>
      </c>
      <c r="D188" t="str">
        <f>IFERROR(VLOOKUP($B188,'Raw Data by WH'!$A$1:$O$999999,5,FALSE),"")</f>
        <v/>
      </c>
      <c r="E188" t="str">
        <f>IFERROR(VLOOKUP($B188,'Raw Data by WH'!$A$1:$O$999999,6,FALSE),"")</f>
        <v/>
      </c>
      <c r="F188" s="3" t="str">
        <f>IFERROR(VLOOKUP($B188,'Raw Data by WH'!$A$1:$O$999999,7,FALSE),"")</f>
        <v/>
      </c>
      <c r="G188" s="2" t="str">
        <f>IFERROR(VLOOKUP($B188,'Raw Data by WH'!$A$1:$O$999999,8,FALSE),"")</f>
        <v/>
      </c>
      <c r="H188" s="7" t="str">
        <f>IFERROR(VLOOKUP($B188,'Raw Data by WH'!$A$1:$O$999999,9,FALSE),"")</f>
        <v/>
      </c>
      <c r="I188" s="7" t="str">
        <f>IFERROR(VLOOKUP($B188,'Raw Data by WH'!$A$1:$O$999999,10,FALSE),"")</f>
        <v/>
      </c>
    </row>
    <row r="189" spans="1:9" x14ac:dyDescent="0.3">
      <c r="A189">
        <f t="shared" si="6"/>
        <v>180</v>
      </c>
      <c r="B189" t="str">
        <f t="shared" si="7"/>
        <v>1-180</v>
      </c>
      <c r="C189" t="str">
        <f>IFERROR(VLOOKUP($B189,'Raw Data by WH'!$A$1:$O$999999,15,FALSE),"")</f>
        <v/>
      </c>
      <c r="D189" t="str">
        <f>IFERROR(VLOOKUP($B189,'Raw Data by WH'!$A$1:$O$999999,5,FALSE),"")</f>
        <v/>
      </c>
      <c r="E189" t="str">
        <f>IFERROR(VLOOKUP($B189,'Raw Data by WH'!$A$1:$O$999999,6,FALSE),"")</f>
        <v/>
      </c>
      <c r="F189" s="3" t="str">
        <f>IFERROR(VLOOKUP($B189,'Raw Data by WH'!$A$1:$O$999999,7,FALSE),"")</f>
        <v/>
      </c>
      <c r="G189" s="2" t="str">
        <f>IFERROR(VLOOKUP($B189,'Raw Data by WH'!$A$1:$O$999999,8,FALSE),"")</f>
        <v/>
      </c>
      <c r="H189" s="7" t="str">
        <f>IFERROR(VLOOKUP($B189,'Raw Data by WH'!$A$1:$O$999999,9,FALSE),"")</f>
        <v/>
      </c>
      <c r="I189" s="7" t="str">
        <f>IFERROR(VLOOKUP($B189,'Raw Data by WH'!$A$1:$O$999999,10,FALSE),"")</f>
        <v/>
      </c>
    </row>
    <row r="190" spans="1:9" x14ac:dyDescent="0.3">
      <c r="A190">
        <f t="shared" si="6"/>
        <v>181</v>
      </c>
      <c r="B190" t="str">
        <f t="shared" si="7"/>
        <v>1-181</v>
      </c>
      <c r="C190" t="str">
        <f>IFERROR(VLOOKUP($B190,'Raw Data by WH'!$A$1:$O$999999,15,FALSE),"")</f>
        <v/>
      </c>
      <c r="D190" t="str">
        <f>IFERROR(VLOOKUP($B190,'Raw Data by WH'!$A$1:$O$999999,5,FALSE),"")</f>
        <v/>
      </c>
      <c r="E190" t="str">
        <f>IFERROR(VLOOKUP($B190,'Raw Data by WH'!$A$1:$O$999999,6,FALSE),"")</f>
        <v/>
      </c>
      <c r="F190" s="3" t="str">
        <f>IFERROR(VLOOKUP($B190,'Raw Data by WH'!$A$1:$O$999999,7,FALSE),"")</f>
        <v/>
      </c>
      <c r="G190" s="2" t="str">
        <f>IFERROR(VLOOKUP($B190,'Raw Data by WH'!$A$1:$O$999999,8,FALSE),"")</f>
        <v/>
      </c>
      <c r="H190" s="7" t="str">
        <f>IFERROR(VLOOKUP($B190,'Raw Data by WH'!$A$1:$O$999999,9,FALSE),"")</f>
        <v/>
      </c>
      <c r="I190" s="7" t="str">
        <f>IFERROR(VLOOKUP($B190,'Raw Data by WH'!$A$1:$O$999999,10,FALSE),"")</f>
        <v/>
      </c>
    </row>
    <row r="191" spans="1:9" x14ac:dyDescent="0.3">
      <c r="A191">
        <f t="shared" si="6"/>
        <v>182</v>
      </c>
      <c r="B191" t="str">
        <f t="shared" si="7"/>
        <v>1-182</v>
      </c>
      <c r="C191" t="str">
        <f>IFERROR(VLOOKUP($B191,'Raw Data by WH'!$A$1:$O$999999,15,FALSE),"")</f>
        <v/>
      </c>
      <c r="D191" t="str">
        <f>IFERROR(VLOOKUP($B191,'Raw Data by WH'!$A$1:$O$999999,5,FALSE),"")</f>
        <v/>
      </c>
      <c r="E191" t="str">
        <f>IFERROR(VLOOKUP($B191,'Raw Data by WH'!$A$1:$O$999999,6,FALSE),"")</f>
        <v/>
      </c>
      <c r="F191" s="3" t="str">
        <f>IFERROR(VLOOKUP($B191,'Raw Data by WH'!$A$1:$O$999999,7,FALSE),"")</f>
        <v/>
      </c>
      <c r="G191" s="2" t="str">
        <f>IFERROR(VLOOKUP($B191,'Raw Data by WH'!$A$1:$O$999999,8,FALSE),"")</f>
        <v/>
      </c>
      <c r="H191" s="7" t="str">
        <f>IFERROR(VLOOKUP($B191,'Raw Data by WH'!$A$1:$O$999999,9,FALSE),"")</f>
        <v/>
      </c>
      <c r="I191" s="7" t="str">
        <f>IFERROR(VLOOKUP($B191,'Raw Data by WH'!$A$1:$O$999999,10,FALSE),"")</f>
        <v/>
      </c>
    </row>
    <row r="192" spans="1:9" x14ac:dyDescent="0.3">
      <c r="A192">
        <f t="shared" si="6"/>
        <v>183</v>
      </c>
      <c r="B192" t="str">
        <f t="shared" si="7"/>
        <v>1-183</v>
      </c>
      <c r="C192" t="str">
        <f>IFERROR(VLOOKUP($B192,'Raw Data by WH'!$A$1:$O$999999,15,FALSE),"")</f>
        <v/>
      </c>
      <c r="D192" t="str">
        <f>IFERROR(VLOOKUP($B192,'Raw Data by WH'!$A$1:$O$999999,5,FALSE),"")</f>
        <v/>
      </c>
      <c r="E192" t="str">
        <f>IFERROR(VLOOKUP($B192,'Raw Data by WH'!$A$1:$O$999999,6,FALSE),"")</f>
        <v/>
      </c>
      <c r="F192" s="3" t="str">
        <f>IFERROR(VLOOKUP($B192,'Raw Data by WH'!$A$1:$O$999999,7,FALSE),"")</f>
        <v/>
      </c>
      <c r="G192" s="2" t="str">
        <f>IFERROR(VLOOKUP($B192,'Raw Data by WH'!$A$1:$O$999999,8,FALSE),"")</f>
        <v/>
      </c>
      <c r="H192" s="7" t="str">
        <f>IFERROR(VLOOKUP($B192,'Raw Data by WH'!$A$1:$O$999999,9,FALSE),"")</f>
        <v/>
      </c>
      <c r="I192" s="7" t="str">
        <f>IFERROR(VLOOKUP($B192,'Raw Data by WH'!$A$1:$O$999999,10,FALSE),"")</f>
        <v/>
      </c>
    </row>
    <row r="193" spans="1:9" x14ac:dyDescent="0.3">
      <c r="A193">
        <f t="shared" si="6"/>
        <v>184</v>
      </c>
      <c r="B193" t="str">
        <f t="shared" si="7"/>
        <v>1-184</v>
      </c>
      <c r="C193" t="str">
        <f>IFERROR(VLOOKUP($B193,'Raw Data by WH'!$A$1:$O$999999,15,FALSE),"")</f>
        <v/>
      </c>
      <c r="D193" t="str">
        <f>IFERROR(VLOOKUP($B193,'Raw Data by WH'!$A$1:$O$999999,5,FALSE),"")</f>
        <v/>
      </c>
      <c r="E193" t="str">
        <f>IFERROR(VLOOKUP($B193,'Raw Data by WH'!$A$1:$O$999999,6,FALSE),"")</f>
        <v/>
      </c>
      <c r="F193" s="3" t="str">
        <f>IFERROR(VLOOKUP($B193,'Raw Data by WH'!$A$1:$O$999999,7,FALSE),"")</f>
        <v/>
      </c>
      <c r="G193" s="2" t="str">
        <f>IFERROR(VLOOKUP($B193,'Raw Data by WH'!$A$1:$O$999999,8,FALSE),"")</f>
        <v/>
      </c>
      <c r="H193" s="7" t="str">
        <f>IFERROR(VLOOKUP($B193,'Raw Data by WH'!$A$1:$O$999999,9,FALSE),"")</f>
        <v/>
      </c>
      <c r="I193" s="7" t="str">
        <f>IFERROR(VLOOKUP($B193,'Raw Data by WH'!$A$1:$O$999999,10,FALSE),"")</f>
        <v/>
      </c>
    </row>
    <row r="194" spans="1:9" x14ac:dyDescent="0.3">
      <c r="A194">
        <f t="shared" si="6"/>
        <v>185</v>
      </c>
      <c r="B194" t="str">
        <f t="shared" si="7"/>
        <v>1-185</v>
      </c>
      <c r="C194" t="str">
        <f>IFERROR(VLOOKUP($B194,'Raw Data by WH'!$A$1:$O$999999,15,FALSE),"")</f>
        <v/>
      </c>
      <c r="D194" t="str">
        <f>IFERROR(VLOOKUP($B194,'Raw Data by WH'!$A$1:$O$999999,5,FALSE),"")</f>
        <v/>
      </c>
      <c r="E194" t="str">
        <f>IFERROR(VLOOKUP($B194,'Raw Data by WH'!$A$1:$O$999999,6,FALSE),"")</f>
        <v/>
      </c>
      <c r="F194" s="3" t="str">
        <f>IFERROR(VLOOKUP($B194,'Raw Data by WH'!$A$1:$O$999999,7,FALSE),"")</f>
        <v/>
      </c>
      <c r="G194" s="2" t="str">
        <f>IFERROR(VLOOKUP($B194,'Raw Data by WH'!$A$1:$O$999999,8,FALSE),"")</f>
        <v/>
      </c>
      <c r="H194" s="7" t="str">
        <f>IFERROR(VLOOKUP($B194,'Raw Data by WH'!$A$1:$O$999999,9,FALSE),"")</f>
        <v/>
      </c>
      <c r="I194" s="7" t="str">
        <f>IFERROR(VLOOKUP($B194,'Raw Data by WH'!$A$1:$O$999999,10,FALSE),"")</f>
        <v/>
      </c>
    </row>
    <row r="195" spans="1:9" x14ac:dyDescent="0.3">
      <c r="A195">
        <f t="shared" si="6"/>
        <v>186</v>
      </c>
      <c r="B195" t="str">
        <f t="shared" si="7"/>
        <v>1-186</v>
      </c>
      <c r="C195" t="str">
        <f>IFERROR(VLOOKUP($B195,'Raw Data by WH'!$A$1:$O$999999,15,FALSE),"")</f>
        <v/>
      </c>
      <c r="D195" t="str">
        <f>IFERROR(VLOOKUP($B195,'Raw Data by WH'!$A$1:$O$999999,5,FALSE),"")</f>
        <v/>
      </c>
      <c r="E195" t="str">
        <f>IFERROR(VLOOKUP($B195,'Raw Data by WH'!$A$1:$O$999999,6,FALSE),"")</f>
        <v/>
      </c>
      <c r="F195" s="3" t="str">
        <f>IFERROR(VLOOKUP($B195,'Raw Data by WH'!$A$1:$O$999999,7,FALSE),"")</f>
        <v/>
      </c>
      <c r="G195" s="2" t="str">
        <f>IFERROR(VLOOKUP($B195,'Raw Data by WH'!$A$1:$O$999999,8,FALSE),"")</f>
        <v/>
      </c>
      <c r="H195" s="7" t="str">
        <f>IFERROR(VLOOKUP($B195,'Raw Data by WH'!$A$1:$O$999999,9,FALSE),"")</f>
        <v/>
      </c>
      <c r="I195" s="7" t="str">
        <f>IFERROR(VLOOKUP($B195,'Raw Data by WH'!$A$1:$O$999999,10,FALSE),"")</f>
        <v/>
      </c>
    </row>
    <row r="196" spans="1:9" x14ac:dyDescent="0.3">
      <c r="A196">
        <f t="shared" si="6"/>
        <v>187</v>
      </c>
      <c r="B196" t="str">
        <f t="shared" si="7"/>
        <v>1-187</v>
      </c>
      <c r="C196" t="str">
        <f>IFERROR(VLOOKUP($B196,'Raw Data by WH'!$A$1:$O$999999,15,FALSE),"")</f>
        <v/>
      </c>
      <c r="D196" t="str">
        <f>IFERROR(VLOOKUP($B196,'Raw Data by WH'!$A$1:$O$999999,5,FALSE),"")</f>
        <v/>
      </c>
      <c r="E196" t="str">
        <f>IFERROR(VLOOKUP($B196,'Raw Data by WH'!$A$1:$O$999999,6,FALSE),"")</f>
        <v/>
      </c>
      <c r="F196" s="3" t="str">
        <f>IFERROR(VLOOKUP($B196,'Raw Data by WH'!$A$1:$O$999999,7,FALSE),"")</f>
        <v/>
      </c>
      <c r="G196" s="2" t="str">
        <f>IFERROR(VLOOKUP($B196,'Raw Data by WH'!$A$1:$O$999999,8,FALSE),"")</f>
        <v/>
      </c>
      <c r="H196" s="7" t="str">
        <f>IFERROR(VLOOKUP($B196,'Raw Data by WH'!$A$1:$O$999999,9,FALSE),"")</f>
        <v/>
      </c>
      <c r="I196" s="7" t="str">
        <f>IFERROR(VLOOKUP($B196,'Raw Data by WH'!$A$1:$O$999999,10,FALSE),"")</f>
        <v/>
      </c>
    </row>
    <row r="197" spans="1:9" x14ac:dyDescent="0.3">
      <c r="A197">
        <f t="shared" si="6"/>
        <v>188</v>
      </c>
      <c r="B197" t="str">
        <f t="shared" si="7"/>
        <v>1-188</v>
      </c>
      <c r="C197" t="str">
        <f>IFERROR(VLOOKUP($B197,'Raw Data by WH'!$A$1:$O$999999,15,FALSE),"")</f>
        <v/>
      </c>
      <c r="D197" t="str">
        <f>IFERROR(VLOOKUP($B197,'Raw Data by WH'!$A$1:$O$999999,5,FALSE),"")</f>
        <v/>
      </c>
      <c r="E197" t="str">
        <f>IFERROR(VLOOKUP($B197,'Raw Data by WH'!$A$1:$O$999999,6,FALSE),"")</f>
        <v/>
      </c>
      <c r="F197" s="3" t="str">
        <f>IFERROR(VLOOKUP($B197,'Raw Data by WH'!$A$1:$O$999999,7,FALSE),"")</f>
        <v/>
      </c>
      <c r="G197" s="2" t="str">
        <f>IFERROR(VLOOKUP($B197,'Raw Data by WH'!$A$1:$O$999999,8,FALSE),"")</f>
        <v/>
      </c>
      <c r="H197" s="7" t="str">
        <f>IFERROR(VLOOKUP($B197,'Raw Data by WH'!$A$1:$O$999999,9,FALSE),"")</f>
        <v/>
      </c>
      <c r="I197" s="7" t="str">
        <f>IFERROR(VLOOKUP($B197,'Raw Data by WH'!$A$1:$O$999999,10,FALSE),"")</f>
        <v/>
      </c>
    </row>
    <row r="198" spans="1:9" x14ac:dyDescent="0.3">
      <c r="A198">
        <f t="shared" si="6"/>
        <v>189</v>
      </c>
      <c r="B198" t="str">
        <f t="shared" si="7"/>
        <v>1-189</v>
      </c>
      <c r="C198" t="str">
        <f>IFERROR(VLOOKUP($B198,'Raw Data by WH'!$A$1:$O$999999,15,FALSE),"")</f>
        <v/>
      </c>
      <c r="D198" t="str">
        <f>IFERROR(VLOOKUP($B198,'Raw Data by WH'!$A$1:$O$999999,5,FALSE),"")</f>
        <v/>
      </c>
      <c r="E198" t="str">
        <f>IFERROR(VLOOKUP($B198,'Raw Data by WH'!$A$1:$O$999999,6,FALSE),"")</f>
        <v/>
      </c>
      <c r="F198" s="3" t="str">
        <f>IFERROR(VLOOKUP($B198,'Raw Data by WH'!$A$1:$O$999999,7,FALSE),"")</f>
        <v/>
      </c>
      <c r="G198" s="2" t="str">
        <f>IFERROR(VLOOKUP($B198,'Raw Data by WH'!$A$1:$O$999999,8,FALSE),"")</f>
        <v/>
      </c>
      <c r="H198" s="7" t="str">
        <f>IFERROR(VLOOKUP($B198,'Raw Data by WH'!$A$1:$O$999999,9,FALSE),"")</f>
        <v/>
      </c>
      <c r="I198" s="7" t="str">
        <f>IFERROR(VLOOKUP($B198,'Raw Data by WH'!$A$1:$O$999999,10,FALSE),"")</f>
        <v/>
      </c>
    </row>
    <row r="199" spans="1:9" x14ac:dyDescent="0.3">
      <c r="A199">
        <f t="shared" si="6"/>
        <v>190</v>
      </c>
      <c r="B199" t="str">
        <f t="shared" si="7"/>
        <v>1-190</v>
      </c>
      <c r="C199" t="str">
        <f>IFERROR(VLOOKUP($B199,'Raw Data by WH'!$A$1:$O$999999,15,FALSE),"")</f>
        <v/>
      </c>
      <c r="D199" t="str">
        <f>IFERROR(VLOOKUP($B199,'Raw Data by WH'!$A$1:$O$999999,5,FALSE),"")</f>
        <v/>
      </c>
      <c r="E199" t="str">
        <f>IFERROR(VLOOKUP($B199,'Raw Data by WH'!$A$1:$O$999999,6,FALSE),"")</f>
        <v/>
      </c>
      <c r="F199" s="3" t="str">
        <f>IFERROR(VLOOKUP($B199,'Raw Data by WH'!$A$1:$O$999999,7,FALSE),"")</f>
        <v/>
      </c>
      <c r="G199" s="2" t="str">
        <f>IFERROR(VLOOKUP($B199,'Raw Data by WH'!$A$1:$O$999999,8,FALSE),"")</f>
        <v/>
      </c>
      <c r="H199" s="7" t="str">
        <f>IFERROR(VLOOKUP($B199,'Raw Data by WH'!$A$1:$O$999999,9,FALSE),"")</f>
        <v/>
      </c>
      <c r="I199" s="7" t="str">
        <f>IFERROR(VLOOKUP($B199,'Raw Data by WH'!$A$1:$O$999999,10,FALSE),"")</f>
        <v/>
      </c>
    </row>
    <row r="200" spans="1:9" x14ac:dyDescent="0.3">
      <c r="A200">
        <f t="shared" si="6"/>
        <v>191</v>
      </c>
      <c r="B200" t="str">
        <f t="shared" si="7"/>
        <v>1-191</v>
      </c>
      <c r="C200" t="str">
        <f>IFERROR(VLOOKUP($B200,'Raw Data by WH'!$A$1:$O$999999,15,FALSE),"")</f>
        <v/>
      </c>
      <c r="D200" t="str">
        <f>IFERROR(VLOOKUP($B200,'Raw Data by WH'!$A$1:$O$999999,5,FALSE),"")</f>
        <v/>
      </c>
      <c r="E200" t="str">
        <f>IFERROR(VLOOKUP($B200,'Raw Data by WH'!$A$1:$O$999999,6,FALSE),"")</f>
        <v/>
      </c>
      <c r="F200" s="3" t="str">
        <f>IFERROR(VLOOKUP($B200,'Raw Data by WH'!$A$1:$O$999999,7,FALSE),"")</f>
        <v/>
      </c>
      <c r="G200" s="2" t="str">
        <f>IFERROR(VLOOKUP($B200,'Raw Data by WH'!$A$1:$O$999999,8,FALSE),"")</f>
        <v/>
      </c>
      <c r="H200" s="7" t="str">
        <f>IFERROR(VLOOKUP($B200,'Raw Data by WH'!$A$1:$O$999999,9,FALSE),"")</f>
        <v/>
      </c>
      <c r="I200" s="7" t="str">
        <f>IFERROR(VLOOKUP($B200,'Raw Data by WH'!$A$1:$O$999999,10,FALSE),"")</f>
        <v/>
      </c>
    </row>
    <row r="201" spans="1:9" x14ac:dyDescent="0.3">
      <c r="A201">
        <f t="shared" si="6"/>
        <v>192</v>
      </c>
      <c r="B201" t="str">
        <f t="shared" si="7"/>
        <v>1-192</v>
      </c>
      <c r="C201" t="str">
        <f>IFERROR(VLOOKUP($B201,'Raw Data by WH'!$A$1:$O$999999,15,FALSE),"")</f>
        <v/>
      </c>
      <c r="D201" t="str">
        <f>IFERROR(VLOOKUP($B201,'Raw Data by WH'!$A$1:$O$999999,5,FALSE),"")</f>
        <v/>
      </c>
      <c r="E201" t="str">
        <f>IFERROR(VLOOKUP($B201,'Raw Data by WH'!$A$1:$O$999999,6,FALSE),"")</f>
        <v/>
      </c>
      <c r="F201" s="3" t="str">
        <f>IFERROR(VLOOKUP($B201,'Raw Data by WH'!$A$1:$O$999999,7,FALSE),"")</f>
        <v/>
      </c>
      <c r="G201" s="2" t="str">
        <f>IFERROR(VLOOKUP($B201,'Raw Data by WH'!$A$1:$O$999999,8,FALSE),"")</f>
        <v/>
      </c>
      <c r="H201" s="7" t="str">
        <f>IFERROR(VLOOKUP($B201,'Raw Data by WH'!$A$1:$O$999999,9,FALSE),"")</f>
        <v/>
      </c>
      <c r="I201" s="7" t="str">
        <f>IFERROR(VLOOKUP($B201,'Raw Data by WH'!$A$1:$O$999999,10,FALSE),"")</f>
        <v/>
      </c>
    </row>
    <row r="202" spans="1:9" x14ac:dyDescent="0.3">
      <c r="A202">
        <f t="shared" si="6"/>
        <v>193</v>
      </c>
      <c r="B202" t="str">
        <f t="shared" si="7"/>
        <v>1-193</v>
      </c>
      <c r="C202" t="str">
        <f>IFERROR(VLOOKUP($B202,'Raw Data by WH'!$A$1:$O$999999,15,FALSE),"")</f>
        <v/>
      </c>
      <c r="D202" t="str">
        <f>IFERROR(VLOOKUP($B202,'Raw Data by WH'!$A$1:$O$999999,5,FALSE),"")</f>
        <v/>
      </c>
      <c r="E202" t="str">
        <f>IFERROR(VLOOKUP($B202,'Raw Data by WH'!$A$1:$O$999999,6,FALSE),"")</f>
        <v/>
      </c>
      <c r="F202" s="3" t="str">
        <f>IFERROR(VLOOKUP($B202,'Raw Data by WH'!$A$1:$O$999999,7,FALSE),"")</f>
        <v/>
      </c>
      <c r="G202" s="2" t="str">
        <f>IFERROR(VLOOKUP($B202,'Raw Data by WH'!$A$1:$O$999999,8,FALSE),"")</f>
        <v/>
      </c>
      <c r="H202" s="7" t="str">
        <f>IFERROR(VLOOKUP($B202,'Raw Data by WH'!$A$1:$O$999999,9,FALSE),"")</f>
        <v/>
      </c>
      <c r="I202" s="7" t="str">
        <f>IFERROR(VLOOKUP($B202,'Raw Data by WH'!$A$1:$O$999999,10,FALSE),"")</f>
        <v/>
      </c>
    </row>
    <row r="203" spans="1:9" x14ac:dyDescent="0.3">
      <c r="A203">
        <f t="shared" si="6"/>
        <v>194</v>
      </c>
      <c r="B203" t="str">
        <f t="shared" si="7"/>
        <v>1-194</v>
      </c>
      <c r="C203" t="str">
        <f>IFERROR(VLOOKUP($B203,'Raw Data by WH'!$A$1:$O$999999,15,FALSE),"")</f>
        <v/>
      </c>
      <c r="D203" t="str">
        <f>IFERROR(VLOOKUP($B203,'Raw Data by WH'!$A$1:$O$999999,5,FALSE),"")</f>
        <v/>
      </c>
      <c r="E203" t="str">
        <f>IFERROR(VLOOKUP($B203,'Raw Data by WH'!$A$1:$O$999999,6,FALSE),"")</f>
        <v/>
      </c>
      <c r="F203" s="3" t="str">
        <f>IFERROR(VLOOKUP($B203,'Raw Data by WH'!$A$1:$O$999999,7,FALSE),"")</f>
        <v/>
      </c>
      <c r="G203" s="2" t="str">
        <f>IFERROR(VLOOKUP($B203,'Raw Data by WH'!$A$1:$O$999999,8,FALSE),"")</f>
        <v/>
      </c>
      <c r="H203" s="7" t="str">
        <f>IFERROR(VLOOKUP($B203,'Raw Data by WH'!$A$1:$O$999999,9,FALSE),"")</f>
        <v/>
      </c>
      <c r="I203" s="7" t="str">
        <f>IFERROR(VLOOKUP($B203,'Raw Data by WH'!$A$1:$O$999999,10,FALSE),"")</f>
        <v/>
      </c>
    </row>
    <row r="204" spans="1:9" x14ac:dyDescent="0.3">
      <c r="A204">
        <f t="shared" si="6"/>
        <v>195</v>
      </c>
      <c r="B204" t="str">
        <f t="shared" si="7"/>
        <v>1-195</v>
      </c>
      <c r="C204" t="str">
        <f>IFERROR(VLOOKUP($B204,'Raw Data by WH'!$A$1:$O$999999,15,FALSE),"")</f>
        <v/>
      </c>
      <c r="D204" t="str">
        <f>IFERROR(VLOOKUP($B204,'Raw Data by WH'!$A$1:$O$999999,5,FALSE),"")</f>
        <v/>
      </c>
      <c r="E204" t="str">
        <f>IFERROR(VLOOKUP($B204,'Raw Data by WH'!$A$1:$O$999999,6,FALSE),"")</f>
        <v/>
      </c>
      <c r="F204" s="3" t="str">
        <f>IFERROR(VLOOKUP($B204,'Raw Data by WH'!$A$1:$O$999999,7,FALSE),"")</f>
        <v/>
      </c>
      <c r="G204" s="2" t="str">
        <f>IFERROR(VLOOKUP($B204,'Raw Data by WH'!$A$1:$O$999999,8,FALSE),"")</f>
        <v/>
      </c>
      <c r="H204" s="7" t="str">
        <f>IFERROR(VLOOKUP($B204,'Raw Data by WH'!$A$1:$O$999999,9,FALSE),"")</f>
        <v/>
      </c>
      <c r="I204" s="7" t="str">
        <f>IFERROR(VLOOKUP($B204,'Raw Data by WH'!$A$1:$O$999999,10,FALSE),"")</f>
        <v/>
      </c>
    </row>
    <row r="205" spans="1:9" x14ac:dyDescent="0.3">
      <c r="A205">
        <f t="shared" si="6"/>
        <v>196</v>
      </c>
      <c r="B205" t="str">
        <f t="shared" si="7"/>
        <v>1-196</v>
      </c>
      <c r="C205" t="str">
        <f>IFERROR(VLOOKUP($B205,'Raw Data by WH'!$A$1:$O$999999,15,FALSE),"")</f>
        <v/>
      </c>
      <c r="D205" t="str">
        <f>IFERROR(VLOOKUP($B205,'Raw Data by WH'!$A$1:$O$999999,5,FALSE),"")</f>
        <v/>
      </c>
      <c r="E205" t="str">
        <f>IFERROR(VLOOKUP($B205,'Raw Data by WH'!$A$1:$O$999999,6,FALSE),"")</f>
        <v/>
      </c>
      <c r="F205" s="3" t="str">
        <f>IFERROR(VLOOKUP($B205,'Raw Data by WH'!$A$1:$O$999999,7,FALSE),"")</f>
        <v/>
      </c>
      <c r="G205" s="2" t="str">
        <f>IFERROR(VLOOKUP($B205,'Raw Data by WH'!$A$1:$O$999999,8,FALSE),"")</f>
        <v/>
      </c>
      <c r="H205" s="7" t="str">
        <f>IFERROR(VLOOKUP($B205,'Raw Data by WH'!$A$1:$O$999999,9,FALSE),"")</f>
        <v/>
      </c>
      <c r="I205" s="7" t="str">
        <f>IFERROR(VLOOKUP($B205,'Raw Data by WH'!$A$1:$O$999999,10,FALSE),"")</f>
        <v/>
      </c>
    </row>
    <row r="206" spans="1:9" x14ac:dyDescent="0.3">
      <c r="A206">
        <f t="shared" si="6"/>
        <v>197</v>
      </c>
      <c r="B206" t="str">
        <f t="shared" si="7"/>
        <v>1-197</v>
      </c>
      <c r="C206" t="str">
        <f>IFERROR(VLOOKUP($B206,'Raw Data by WH'!$A$1:$O$999999,15,FALSE),"")</f>
        <v/>
      </c>
      <c r="D206" t="str">
        <f>IFERROR(VLOOKUP($B206,'Raw Data by WH'!$A$1:$O$999999,5,FALSE),"")</f>
        <v/>
      </c>
      <c r="E206" t="str">
        <f>IFERROR(VLOOKUP($B206,'Raw Data by WH'!$A$1:$O$999999,6,FALSE),"")</f>
        <v/>
      </c>
      <c r="F206" s="3" t="str">
        <f>IFERROR(VLOOKUP($B206,'Raw Data by WH'!$A$1:$O$999999,7,FALSE),"")</f>
        <v/>
      </c>
      <c r="G206" s="2" t="str">
        <f>IFERROR(VLOOKUP($B206,'Raw Data by WH'!$A$1:$O$999999,8,FALSE),"")</f>
        <v/>
      </c>
      <c r="H206" s="7" t="str">
        <f>IFERROR(VLOOKUP($B206,'Raw Data by WH'!$A$1:$O$999999,9,FALSE),"")</f>
        <v/>
      </c>
      <c r="I206" s="7" t="str">
        <f>IFERROR(VLOOKUP($B206,'Raw Data by WH'!$A$1:$O$999999,10,FALSE),"")</f>
        <v/>
      </c>
    </row>
    <row r="207" spans="1:9" x14ac:dyDescent="0.3">
      <c r="A207">
        <f t="shared" si="6"/>
        <v>198</v>
      </c>
      <c r="B207" t="str">
        <f t="shared" si="7"/>
        <v>1-198</v>
      </c>
      <c r="C207" t="str">
        <f>IFERROR(VLOOKUP($B207,'Raw Data by WH'!$A$1:$O$999999,15,FALSE),"")</f>
        <v/>
      </c>
      <c r="D207" t="str">
        <f>IFERROR(VLOOKUP($B207,'Raw Data by WH'!$A$1:$O$999999,5,FALSE),"")</f>
        <v/>
      </c>
      <c r="E207" t="str">
        <f>IFERROR(VLOOKUP($B207,'Raw Data by WH'!$A$1:$O$999999,6,FALSE),"")</f>
        <v/>
      </c>
      <c r="F207" s="3" t="str">
        <f>IFERROR(VLOOKUP($B207,'Raw Data by WH'!$A$1:$O$999999,7,FALSE),"")</f>
        <v/>
      </c>
      <c r="G207" s="2" t="str">
        <f>IFERROR(VLOOKUP($B207,'Raw Data by WH'!$A$1:$O$999999,8,FALSE),"")</f>
        <v/>
      </c>
      <c r="H207" s="7" t="str">
        <f>IFERROR(VLOOKUP($B207,'Raw Data by WH'!$A$1:$O$999999,9,FALSE),"")</f>
        <v/>
      </c>
      <c r="I207" s="7" t="str">
        <f>IFERROR(VLOOKUP($B207,'Raw Data by WH'!$A$1:$O$999999,10,FALSE),"")</f>
        <v/>
      </c>
    </row>
    <row r="208" spans="1:9" x14ac:dyDescent="0.3">
      <c r="A208">
        <f t="shared" si="6"/>
        <v>199</v>
      </c>
      <c r="B208" t="str">
        <f t="shared" si="7"/>
        <v>1-199</v>
      </c>
      <c r="C208" t="str">
        <f>IFERROR(VLOOKUP($B208,'Raw Data by WH'!$A$1:$O$999999,15,FALSE),"")</f>
        <v/>
      </c>
      <c r="D208" t="str">
        <f>IFERROR(VLOOKUP($B208,'Raw Data by WH'!$A$1:$O$999999,5,FALSE),"")</f>
        <v/>
      </c>
      <c r="E208" t="str">
        <f>IFERROR(VLOOKUP($B208,'Raw Data by WH'!$A$1:$O$999999,6,FALSE),"")</f>
        <v/>
      </c>
      <c r="F208" s="3" t="str">
        <f>IFERROR(VLOOKUP($B208,'Raw Data by WH'!$A$1:$O$999999,7,FALSE),"")</f>
        <v/>
      </c>
      <c r="G208" s="2" t="str">
        <f>IFERROR(VLOOKUP($B208,'Raw Data by WH'!$A$1:$O$999999,8,FALSE),"")</f>
        <v/>
      </c>
      <c r="H208" s="7" t="str">
        <f>IFERROR(VLOOKUP($B208,'Raw Data by WH'!$A$1:$O$999999,9,FALSE),"")</f>
        <v/>
      </c>
      <c r="I208" s="7" t="str">
        <f>IFERROR(VLOOKUP($B208,'Raw Data by WH'!$A$1:$O$999999,10,FALSE),"")</f>
        <v/>
      </c>
    </row>
    <row r="209" spans="1:9" x14ac:dyDescent="0.3">
      <c r="A209">
        <f t="shared" si="6"/>
        <v>200</v>
      </c>
      <c r="B209" t="str">
        <f t="shared" si="7"/>
        <v>1-200</v>
      </c>
      <c r="C209" t="str">
        <f>IFERROR(VLOOKUP($B209,'Raw Data by WH'!$A$1:$O$999999,15,FALSE),"")</f>
        <v/>
      </c>
      <c r="D209" t="str">
        <f>IFERROR(VLOOKUP($B209,'Raw Data by WH'!$A$1:$O$999999,5,FALSE),"")</f>
        <v/>
      </c>
      <c r="E209" t="str">
        <f>IFERROR(VLOOKUP($B209,'Raw Data by WH'!$A$1:$O$999999,6,FALSE),"")</f>
        <v/>
      </c>
      <c r="F209" s="3" t="str">
        <f>IFERROR(VLOOKUP($B209,'Raw Data by WH'!$A$1:$O$999999,7,FALSE),"")</f>
        <v/>
      </c>
      <c r="G209" s="2" t="str">
        <f>IFERROR(VLOOKUP($B209,'Raw Data by WH'!$A$1:$O$999999,8,FALSE),"")</f>
        <v/>
      </c>
      <c r="H209" s="7" t="str">
        <f>IFERROR(VLOOKUP($B209,'Raw Data by WH'!$A$1:$O$999999,9,FALSE),"")</f>
        <v/>
      </c>
      <c r="I209" s="7" t="str">
        <f>IFERROR(VLOOKUP($B209,'Raw Data by WH'!$A$1:$O$999999,10,FALSE),"")</f>
        <v/>
      </c>
    </row>
    <row r="210" spans="1:9" x14ac:dyDescent="0.3">
      <c r="A210">
        <f t="shared" si="6"/>
        <v>201</v>
      </c>
      <c r="B210" t="str">
        <f t="shared" si="7"/>
        <v>1-201</v>
      </c>
      <c r="C210" t="str">
        <f>IFERROR(VLOOKUP($B210,'Raw Data by WH'!$A$1:$O$999999,15,FALSE),"")</f>
        <v/>
      </c>
      <c r="D210" t="str">
        <f>IFERROR(VLOOKUP($B210,'Raw Data by WH'!$A$1:$O$999999,5,FALSE),"")</f>
        <v/>
      </c>
      <c r="E210" t="str">
        <f>IFERROR(VLOOKUP($B210,'Raw Data by WH'!$A$1:$O$999999,6,FALSE),"")</f>
        <v/>
      </c>
      <c r="F210" s="3" t="str">
        <f>IFERROR(VLOOKUP($B210,'Raw Data by WH'!$A$1:$O$999999,7,FALSE),"")</f>
        <v/>
      </c>
      <c r="G210" s="2" t="str">
        <f>IFERROR(VLOOKUP($B210,'Raw Data by WH'!$A$1:$O$999999,8,FALSE),"")</f>
        <v/>
      </c>
      <c r="H210" s="7" t="str">
        <f>IFERROR(VLOOKUP($B210,'Raw Data by WH'!$A$1:$O$999999,9,FALSE),"")</f>
        <v/>
      </c>
      <c r="I210" s="7" t="str">
        <f>IFERROR(VLOOKUP($B210,'Raw Data by WH'!$A$1:$O$999999,10,FALSE),"")</f>
        <v/>
      </c>
    </row>
    <row r="211" spans="1:9" x14ac:dyDescent="0.3">
      <c r="A211">
        <f t="shared" si="6"/>
        <v>202</v>
      </c>
      <c r="B211" t="str">
        <f t="shared" si="7"/>
        <v>1-202</v>
      </c>
      <c r="C211" t="str">
        <f>IFERROR(VLOOKUP($B211,'Raw Data by WH'!$A$1:$O$999999,15,FALSE),"")</f>
        <v/>
      </c>
      <c r="D211" t="str">
        <f>IFERROR(VLOOKUP($B211,'Raw Data by WH'!$A$1:$O$999999,5,FALSE),"")</f>
        <v/>
      </c>
      <c r="E211" t="str">
        <f>IFERROR(VLOOKUP($B211,'Raw Data by WH'!$A$1:$O$999999,6,FALSE),"")</f>
        <v/>
      </c>
      <c r="F211" s="3" t="str">
        <f>IFERROR(VLOOKUP($B211,'Raw Data by WH'!$A$1:$O$999999,7,FALSE),"")</f>
        <v/>
      </c>
      <c r="G211" s="2" t="str">
        <f>IFERROR(VLOOKUP($B211,'Raw Data by WH'!$A$1:$O$999999,8,FALSE),"")</f>
        <v/>
      </c>
      <c r="H211" s="7" t="str">
        <f>IFERROR(VLOOKUP($B211,'Raw Data by WH'!$A$1:$O$999999,9,FALSE),"")</f>
        <v/>
      </c>
      <c r="I211" s="7" t="str">
        <f>IFERROR(VLOOKUP($B211,'Raw Data by WH'!$A$1:$O$999999,10,FALSE),"")</f>
        <v/>
      </c>
    </row>
    <row r="212" spans="1:9" x14ac:dyDescent="0.3">
      <c r="A212">
        <f t="shared" si="6"/>
        <v>203</v>
      </c>
      <c r="B212" t="str">
        <f t="shared" si="7"/>
        <v>1-203</v>
      </c>
      <c r="C212" t="str">
        <f>IFERROR(VLOOKUP($B212,'Raw Data by WH'!$A$1:$O$999999,15,FALSE),"")</f>
        <v/>
      </c>
      <c r="D212" t="str">
        <f>IFERROR(VLOOKUP($B212,'Raw Data by WH'!$A$1:$O$999999,5,FALSE),"")</f>
        <v/>
      </c>
      <c r="E212" t="str">
        <f>IFERROR(VLOOKUP($B212,'Raw Data by WH'!$A$1:$O$999999,6,FALSE),"")</f>
        <v/>
      </c>
      <c r="F212" s="3" t="str">
        <f>IFERROR(VLOOKUP($B212,'Raw Data by WH'!$A$1:$O$999999,7,FALSE),"")</f>
        <v/>
      </c>
      <c r="G212" s="2" t="str">
        <f>IFERROR(VLOOKUP($B212,'Raw Data by WH'!$A$1:$O$999999,8,FALSE),"")</f>
        <v/>
      </c>
      <c r="H212" s="7" t="str">
        <f>IFERROR(VLOOKUP($B212,'Raw Data by WH'!$A$1:$O$999999,9,FALSE),"")</f>
        <v/>
      </c>
      <c r="I212" s="7" t="str">
        <f>IFERROR(VLOOKUP($B212,'Raw Data by WH'!$A$1:$O$999999,10,FALSE),"")</f>
        <v/>
      </c>
    </row>
    <row r="213" spans="1:9" x14ac:dyDescent="0.3">
      <c r="A213">
        <f t="shared" si="6"/>
        <v>204</v>
      </c>
      <c r="B213" t="str">
        <f t="shared" si="7"/>
        <v>1-204</v>
      </c>
      <c r="C213" t="str">
        <f>IFERROR(VLOOKUP($B213,'Raw Data by WH'!$A$1:$O$999999,15,FALSE),"")</f>
        <v/>
      </c>
      <c r="D213" t="str">
        <f>IFERROR(VLOOKUP($B213,'Raw Data by WH'!$A$1:$O$999999,5,FALSE),"")</f>
        <v/>
      </c>
      <c r="E213" t="str">
        <f>IFERROR(VLOOKUP($B213,'Raw Data by WH'!$A$1:$O$999999,6,FALSE),"")</f>
        <v/>
      </c>
      <c r="F213" s="3" t="str">
        <f>IFERROR(VLOOKUP($B213,'Raw Data by WH'!$A$1:$O$999999,7,FALSE),"")</f>
        <v/>
      </c>
      <c r="G213" s="2" t="str">
        <f>IFERROR(VLOOKUP($B213,'Raw Data by WH'!$A$1:$O$999999,8,FALSE),"")</f>
        <v/>
      </c>
      <c r="H213" s="7" t="str">
        <f>IFERROR(VLOOKUP($B213,'Raw Data by WH'!$A$1:$O$999999,9,FALSE),"")</f>
        <v/>
      </c>
      <c r="I213" s="7" t="str">
        <f>IFERROR(VLOOKUP($B213,'Raw Data by WH'!$A$1:$O$999999,10,FALSE),"")</f>
        <v/>
      </c>
    </row>
    <row r="214" spans="1:9" x14ac:dyDescent="0.3">
      <c r="A214">
        <f t="shared" si="6"/>
        <v>205</v>
      </c>
      <c r="B214" t="str">
        <f t="shared" si="7"/>
        <v>1-205</v>
      </c>
      <c r="C214" t="str">
        <f>IFERROR(VLOOKUP($B214,'Raw Data by WH'!$A$1:$O$999999,15,FALSE),"")</f>
        <v/>
      </c>
      <c r="D214" t="str">
        <f>IFERROR(VLOOKUP($B214,'Raw Data by WH'!$A$1:$O$999999,5,FALSE),"")</f>
        <v/>
      </c>
      <c r="E214" t="str">
        <f>IFERROR(VLOOKUP($B214,'Raw Data by WH'!$A$1:$O$999999,6,FALSE),"")</f>
        <v/>
      </c>
      <c r="F214" s="3" t="str">
        <f>IFERROR(VLOOKUP($B214,'Raw Data by WH'!$A$1:$O$999999,7,FALSE),"")</f>
        <v/>
      </c>
      <c r="G214" s="2" t="str">
        <f>IFERROR(VLOOKUP($B214,'Raw Data by WH'!$A$1:$O$999999,8,FALSE),"")</f>
        <v/>
      </c>
      <c r="H214" s="7" t="str">
        <f>IFERROR(VLOOKUP($B214,'Raw Data by WH'!$A$1:$O$999999,9,FALSE),"")</f>
        <v/>
      </c>
      <c r="I214" s="7" t="str">
        <f>IFERROR(VLOOKUP($B214,'Raw Data by WH'!$A$1:$O$999999,10,FALSE),"")</f>
        <v/>
      </c>
    </row>
    <row r="215" spans="1:9" x14ac:dyDescent="0.3">
      <c r="A215">
        <f t="shared" si="6"/>
        <v>206</v>
      </c>
      <c r="B215" t="str">
        <f t="shared" si="7"/>
        <v>1-206</v>
      </c>
      <c r="C215" t="str">
        <f>IFERROR(VLOOKUP($B215,'Raw Data by WH'!$A$1:$O$999999,15,FALSE),"")</f>
        <v/>
      </c>
      <c r="D215" t="str">
        <f>IFERROR(VLOOKUP($B215,'Raw Data by WH'!$A$1:$O$999999,5,FALSE),"")</f>
        <v/>
      </c>
      <c r="E215" t="str">
        <f>IFERROR(VLOOKUP($B215,'Raw Data by WH'!$A$1:$O$999999,6,FALSE),"")</f>
        <v/>
      </c>
      <c r="F215" s="3" t="str">
        <f>IFERROR(VLOOKUP($B215,'Raw Data by WH'!$A$1:$O$999999,7,FALSE),"")</f>
        <v/>
      </c>
      <c r="G215" s="2" t="str">
        <f>IFERROR(VLOOKUP($B215,'Raw Data by WH'!$A$1:$O$999999,8,FALSE),"")</f>
        <v/>
      </c>
      <c r="H215" s="7" t="str">
        <f>IFERROR(VLOOKUP($B215,'Raw Data by WH'!$A$1:$O$999999,9,FALSE),"")</f>
        <v/>
      </c>
      <c r="I215" s="7" t="str">
        <f>IFERROR(VLOOKUP($B215,'Raw Data by WH'!$A$1:$O$999999,10,FALSE),"")</f>
        <v/>
      </c>
    </row>
    <row r="216" spans="1:9" x14ac:dyDescent="0.3">
      <c r="A216">
        <f t="shared" si="6"/>
        <v>207</v>
      </c>
      <c r="B216" t="str">
        <f t="shared" si="7"/>
        <v>1-207</v>
      </c>
      <c r="C216" t="str">
        <f>IFERROR(VLOOKUP($B216,'Raw Data by WH'!$A$1:$O$999999,15,FALSE),"")</f>
        <v/>
      </c>
      <c r="D216" t="str">
        <f>IFERROR(VLOOKUP($B216,'Raw Data by WH'!$A$1:$O$999999,5,FALSE),"")</f>
        <v/>
      </c>
      <c r="E216" t="str">
        <f>IFERROR(VLOOKUP($B216,'Raw Data by WH'!$A$1:$O$999999,6,FALSE),"")</f>
        <v/>
      </c>
      <c r="F216" s="3" t="str">
        <f>IFERROR(VLOOKUP($B216,'Raw Data by WH'!$A$1:$O$999999,7,FALSE),"")</f>
        <v/>
      </c>
      <c r="G216" s="2" t="str">
        <f>IFERROR(VLOOKUP($B216,'Raw Data by WH'!$A$1:$O$999999,8,FALSE),"")</f>
        <v/>
      </c>
      <c r="H216" s="7" t="str">
        <f>IFERROR(VLOOKUP($B216,'Raw Data by WH'!$A$1:$O$999999,9,FALSE),"")</f>
        <v/>
      </c>
      <c r="I216" s="7" t="str">
        <f>IFERROR(VLOOKUP($B216,'Raw Data by WH'!$A$1:$O$999999,10,FALSE),"")</f>
        <v/>
      </c>
    </row>
    <row r="217" spans="1:9" x14ac:dyDescent="0.3">
      <c r="A217">
        <f t="shared" si="6"/>
        <v>208</v>
      </c>
      <c r="B217" t="str">
        <f t="shared" si="7"/>
        <v>1-208</v>
      </c>
      <c r="C217" t="str">
        <f>IFERROR(VLOOKUP($B217,'Raw Data by WH'!$A$1:$O$999999,15,FALSE),"")</f>
        <v/>
      </c>
      <c r="D217" t="str">
        <f>IFERROR(VLOOKUP($B217,'Raw Data by WH'!$A$1:$O$999999,5,FALSE),"")</f>
        <v/>
      </c>
      <c r="E217" t="str">
        <f>IFERROR(VLOOKUP($B217,'Raw Data by WH'!$A$1:$O$999999,6,FALSE),"")</f>
        <v/>
      </c>
      <c r="F217" s="3" t="str">
        <f>IFERROR(VLOOKUP($B217,'Raw Data by WH'!$A$1:$O$999999,7,FALSE),"")</f>
        <v/>
      </c>
      <c r="G217" s="2" t="str">
        <f>IFERROR(VLOOKUP($B217,'Raw Data by WH'!$A$1:$O$999999,8,FALSE),"")</f>
        <v/>
      </c>
      <c r="H217" s="7" t="str">
        <f>IFERROR(VLOOKUP($B217,'Raw Data by WH'!$A$1:$O$999999,9,FALSE),"")</f>
        <v/>
      </c>
      <c r="I217" s="7" t="str">
        <f>IFERROR(VLOOKUP($B217,'Raw Data by WH'!$A$1:$O$999999,10,FALSE),"")</f>
        <v/>
      </c>
    </row>
    <row r="218" spans="1:9" x14ac:dyDescent="0.3">
      <c r="A218">
        <f t="shared" si="6"/>
        <v>209</v>
      </c>
      <c r="B218" t="str">
        <f t="shared" si="7"/>
        <v>1-209</v>
      </c>
      <c r="C218" t="str">
        <f>IFERROR(VLOOKUP($B218,'Raw Data by WH'!$A$1:$O$999999,15,FALSE),"")</f>
        <v/>
      </c>
      <c r="D218" t="str">
        <f>IFERROR(VLOOKUP($B218,'Raw Data by WH'!$A$1:$O$999999,5,FALSE),"")</f>
        <v/>
      </c>
      <c r="E218" t="str">
        <f>IFERROR(VLOOKUP($B218,'Raw Data by WH'!$A$1:$O$999999,6,FALSE),"")</f>
        <v/>
      </c>
      <c r="F218" s="3" t="str">
        <f>IFERROR(VLOOKUP($B218,'Raw Data by WH'!$A$1:$O$999999,7,FALSE),"")</f>
        <v/>
      </c>
      <c r="G218" s="2" t="str">
        <f>IFERROR(VLOOKUP($B218,'Raw Data by WH'!$A$1:$O$999999,8,FALSE),"")</f>
        <v/>
      </c>
      <c r="H218" s="7" t="str">
        <f>IFERROR(VLOOKUP($B218,'Raw Data by WH'!$A$1:$O$999999,9,FALSE),"")</f>
        <v/>
      </c>
      <c r="I218" s="7" t="str">
        <f>IFERROR(VLOOKUP($B218,'Raw Data by WH'!$A$1:$O$999999,10,FALSE),"")</f>
        <v/>
      </c>
    </row>
    <row r="219" spans="1:9" x14ac:dyDescent="0.3">
      <c r="A219">
        <f t="shared" si="6"/>
        <v>210</v>
      </c>
      <c r="B219" t="str">
        <f t="shared" si="7"/>
        <v>1-210</v>
      </c>
      <c r="C219" t="str">
        <f>IFERROR(VLOOKUP($B219,'Raw Data by WH'!$A$1:$O$999999,15,FALSE),"")</f>
        <v/>
      </c>
      <c r="D219" t="str">
        <f>IFERROR(VLOOKUP($B219,'Raw Data by WH'!$A$1:$O$999999,5,FALSE),"")</f>
        <v/>
      </c>
      <c r="E219" t="str">
        <f>IFERROR(VLOOKUP($B219,'Raw Data by WH'!$A$1:$O$999999,6,FALSE),"")</f>
        <v/>
      </c>
      <c r="F219" s="3" t="str">
        <f>IFERROR(VLOOKUP($B219,'Raw Data by WH'!$A$1:$O$999999,7,FALSE),"")</f>
        <v/>
      </c>
      <c r="G219" s="2" t="str">
        <f>IFERROR(VLOOKUP($B219,'Raw Data by WH'!$A$1:$O$999999,8,FALSE),"")</f>
        <v/>
      </c>
      <c r="H219" s="7" t="str">
        <f>IFERROR(VLOOKUP($B219,'Raw Data by WH'!$A$1:$O$999999,9,FALSE),"")</f>
        <v/>
      </c>
      <c r="I219" s="7" t="str">
        <f>IFERROR(VLOOKUP($B219,'Raw Data by WH'!$A$1:$O$999999,10,FALSE),"")</f>
        <v/>
      </c>
    </row>
    <row r="220" spans="1:9" x14ac:dyDescent="0.3">
      <c r="A220">
        <f t="shared" si="6"/>
        <v>211</v>
      </c>
      <c r="B220" t="str">
        <f t="shared" si="7"/>
        <v>1-211</v>
      </c>
      <c r="C220" t="str">
        <f>IFERROR(VLOOKUP($B220,'Raw Data by WH'!$A$1:$O$999999,15,FALSE),"")</f>
        <v/>
      </c>
      <c r="D220" t="str">
        <f>IFERROR(VLOOKUP($B220,'Raw Data by WH'!$A$1:$O$999999,5,FALSE),"")</f>
        <v/>
      </c>
      <c r="E220" t="str">
        <f>IFERROR(VLOOKUP($B220,'Raw Data by WH'!$A$1:$O$999999,6,FALSE),"")</f>
        <v/>
      </c>
      <c r="F220" s="3" t="str">
        <f>IFERROR(VLOOKUP($B220,'Raw Data by WH'!$A$1:$O$999999,7,FALSE),"")</f>
        <v/>
      </c>
      <c r="G220" s="2" t="str">
        <f>IFERROR(VLOOKUP($B220,'Raw Data by WH'!$A$1:$O$999999,8,FALSE),"")</f>
        <v/>
      </c>
      <c r="H220" s="7" t="str">
        <f>IFERROR(VLOOKUP($B220,'Raw Data by WH'!$A$1:$O$999999,9,FALSE),"")</f>
        <v/>
      </c>
      <c r="I220" s="7" t="str">
        <f>IFERROR(VLOOKUP($B220,'Raw Data by WH'!$A$1:$O$999999,10,FALSE),"")</f>
        <v/>
      </c>
    </row>
    <row r="221" spans="1:9" x14ac:dyDescent="0.3">
      <c r="A221">
        <f t="shared" si="6"/>
        <v>212</v>
      </c>
      <c r="B221" t="str">
        <f t="shared" si="7"/>
        <v>1-212</v>
      </c>
      <c r="C221" t="str">
        <f>IFERROR(VLOOKUP($B221,'Raw Data by WH'!$A$1:$O$999999,15,FALSE),"")</f>
        <v/>
      </c>
      <c r="D221" t="str">
        <f>IFERROR(VLOOKUP($B221,'Raw Data by WH'!$A$1:$O$999999,5,FALSE),"")</f>
        <v/>
      </c>
      <c r="E221" t="str">
        <f>IFERROR(VLOOKUP($B221,'Raw Data by WH'!$A$1:$O$999999,6,FALSE),"")</f>
        <v/>
      </c>
      <c r="F221" s="3" t="str">
        <f>IFERROR(VLOOKUP($B221,'Raw Data by WH'!$A$1:$O$999999,7,FALSE),"")</f>
        <v/>
      </c>
      <c r="G221" s="2" t="str">
        <f>IFERROR(VLOOKUP($B221,'Raw Data by WH'!$A$1:$O$999999,8,FALSE),"")</f>
        <v/>
      </c>
      <c r="H221" s="7" t="str">
        <f>IFERROR(VLOOKUP($B221,'Raw Data by WH'!$A$1:$O$999999,9,FALSE),"")</f>
        <v/>
      </c>
      <c r="I221" s="7" t="str">
        <f>IFERROR(VLOOKUP($B221,'Raw Data by WH'!$A$1:$O$999999,10,FALSE),"")</f>
        <v/>
      </c>
    </row>
    <row r="222" spans="1:9" x14ac:dyDescent="0.3">
      <c r="A222">
        <f t="shared" si="6"/>
        <v>213</v>
      </c>
      <c r="B222" t="str">
        <f t="shared" si="7"/>
        <v>1-213</v>
      </c>
      <c r="C222" t="str">
        <f>IFERROR(VLOOKUP($B222,'Raw Data by WH'!$A$1:$O$999999,15,FALSE),"")</f>
        <v/>
      </c>
      <c r="D222" t="str">
        <f>IFERROR(VLOOKUP($B222,'Raw Data by WH'!$A$1:$O$999999,5,FALSE),"")</f>
        <v/>
      </c>
      <c r="E222" t="str">
        <f>IFERROR(VLOOKUP($B222,'Raw Data by WH'!$A$1:$O$999999,6,FALSE),"")</f>
        <v/>
      </c>
      <c r="F222" s="3" t="str">
        <f>IFERROR(VLOOKUP($B222,'Raw Data by WH'!$A$1:$O$999999,7,FALSE),"")</f>
        <v/>
      </c>
      <c r="G222" s="2" t="str">
        <f>IFERROR(VLOOKUP($B222,'Raw Data by WH'!$A$1:$O$999999,8,FALSE),"")</f>
        <v/>
      </c>
      <c r="H222" s="7" t="str">
        <f>IFERROR(VLOOKUP($B222,'Raw Data by WH'!$A$1:$O$999999,9,FALSE),"")</f>
        <v/>
      </c>
      <c r="I222" s="7" t="str">
        <f>IFERROR(VLOOKUP($B222,'Raw Data by WH'!$A$1:$O$999999,10,FALSE),"")</f>
        <v/>
      </c>
    </row>
    <row r="223" spans="1:9" x14ac:dyDescent="0.3">
      <c r="A223">
        <f t="shared" si="6"/>
        <v>214</v>
      </c>
      <c r="B223" t="str">
        <f t="shared" si="7"/>
        <v>1-214</v>
      </c>
      <c r="C223" t="str">
        <f>IFERROR(VLOOKUP($B223,'Raw Data by WH'!$A$1:$O$999999,15,FALSE),"")</f>
        <v/>
      </c>
      <c r="D223" t="str">
        <f>IFERROR(VLOOKUP($B223,'Raw Data by WH'!$A$1:$O$999999,5,FALSE),"")</f>
        <v/>
      </c>
      <c r="E223" t="str">
        <f>IFERROR(VLOOKUP($B223,'Raw Data by WH'!$A$1:$O$999999,6,FALSE),"")</f>
        <v/>
      </c>
      <c r="F223" s="3" t="str">
        <f>IFERROR(VLOOKUP($B223,'Raw Data by WH'!$A$1:$O$999999,7,FALSE),"")</f>
        <v/>
      </c>
      <c r="G223" s="2" t="str">
        <f>IFERROR(VLOOKUP($B223,'Raw Data by WH'!$A$1:$O$999999,8,FALSE),"")</f>
        <v/>
      </c>
      <c r="H223" s="7" t="str">
        <f>IFERROR(VLOOKUP($B223,'Raw Data by WH'!$A$1:$O$999999,9,FALSE),"")</f>
        <v/>
      </c>
      <c r="I223" s="7" t="str">
        <f>IFERROR(VLOOKUP($B223,'Raw Data by WH'!$A$1:$O$999999,10,FALSE),"")</f>
        <v/>
      </c>
    </row>
    <row r="224" spans="1:9" x14ac:dyDescent="0.3">
      <c r="A224">
        <f t="shared" si="6"/>
        <v>215</v>
      </c>
      <c r="B224" t="str">
        <f t="shared" si="7"/>
        <v>1-215</v>
      </c>
      <c r="C224" t="str">
        <f>IFERROR(VLOOKUP($B224,'Raw Data by WH'!$A$1:$O$999999,15,FALSE),"")</f>
        <v/>
      </c>
      <c r="D224" t="str">
        <f>IFERROR(VLOOKUP($B224,'Raw Data by WH'!$A$1:$O$999999,5,FALSE),"")</f>
        <v/>
      </c>
      <c r="E224" t="str">
        <f>IFERROR(VLOOKUP($B224,'Raw Data by WH'!$A$1:$O$999999,6,FALSE),"")</f>
        <v/>
      </c>
      <c r="F224" s="3" t="str">
        <f>IFERROR(VLOOKUP($B224,'Raw Data by WH'!$A$1:$O$999999,7,FALSE),"")</f>
        <v/>
      </c>
      <c r="G224" s="2" t="str">
        <f>IFERROR(VLOOKUP($B224,'Raw Data by WH'!$A$1:$O$999999,8,FALSE),"")</f>
        <v/>
      </c>
      <c r="H224" s="7" t="str">
        <f>IFERROR(VLOOKUP($B224,'Raw Data by WH'!$A$1:$O$999999,9,FALSE),"")</f>
        <v/>
      </c>
      <c r="I224" s="7" t="str">
        <f>IFERROR(VLOOKUP($B224,'Raw Data by WH'!$A$1:$O$999999,10,FALSE),"")</f>
        <v/>
      </c>
    </row>
    <row r="225" spans="1:9" x14ac:dyDescent="0.3">
      <c r="A225">
        <f t="shared" si="6"/>
        <v>216</v>
      </c>
      <c r="B225" t="str">
        <f t="shared" si="7"/>
        <v>1-216</v>
      </c>
      <c r="C225" t="str">
        <f>IFERROR(VLOOKUP($B225,'Raw Data by WH'!$A$1:$O$999999,15,FALSE),"")</f>
        <v/>
      </c>
      <c r="D225" t="str">
        <f>IFERROR(VLOOKUP($B225,'Raw Data by WH'!$A$1:$O$999999,5,FALSE),"")</f>
        <v/>
      </c>
      <c r="E225" t="str">
        <f>IFERROR(VLOOKUP($B225,'Raw Data by WH'!$A$1:$O$999999,6,FALSE),"")</f>
        <v/>
      </c>
      <c r="F225" s="3" t="str">
        <f>IFERROR(VLOOKUP($B225,'Raw Data by WH'!$A$1:$O$999999,7,FALSE),"")</f>
        <v/>
      </c>
      <c r="G225" s="2" t="str">
        <f>IFERROR(VLOOKUP($B225,'Raw Data by WH'!$A$1:$O$999999,8,FALSE),"")</f>
        <v/>
      </c>
      <c r="H225" s="7" t="str">
        <f>IFERROR(VLOOKUP($B225,'Raw Data by WH'!$A$1:$O$999999,9,FALSE),"")</f>
        <v/>
      </c>
      <c r="I225" s="7" t="str">
        <f>IFERROR(VLOOKUP($B225,'Raw Data by WH'!$A$1:$O$999999,10,FALSE),"")</f>
        <v/>
      </c>
    </row>
    <row r="226" spans="1:9" x14ac:dyDescent="0.3">
      <c r="A226">
        <f t="shared" si="6"/>
        <v>217</v>
      </c>
      <c r="B226" t="str">
        <f t="shared" si="7"/>
        <v>1-217</v>
      </c>
      <c r="C226" t="str">
        <f>IFERROR(VLOOKUP($B226,'Raw Data by WH'!$A$1:$O$999999,15,FALSE),"")</f>
        <v/>
      </c>
      <c r="D226" t="str">
        <f>IFERROR(VLOOKUP($B226,'Raw Data by WH'!$A$1:$O$999999,5,FALSE),"")</f>
        <v/>
      </c>
      <c r="E226" t="str">
        <f>IFERROR(VLOOKUP($B226,'Raw Data by WH'!$A$1:$O$999999,6,FALSE),"")</f>
        <v/>
      </c>
      <c r="F226" s="3" t="str">
        <f>IFERROR(VLOOKUP($B226,'Raw Data by WH'!$A$1:$O$999999,7,FALSE),"")</f>
        <v/>
      </c>
      <c r="G226" s="2" t="str">
        <f>IFERROR(VLOOKUP($B226,'Raw Data by WH'!$A$1:$O$999999,8,FALSE),"")</f>
        <v/>
      </c>
      <c r="H226" s="7" t="str">
        <f>IFERROR(VLOOKUP($B226,'Raw Data by WH'!$A$1:$O$999999,9,FALSE),"")</f>
        <v/>
      </c>
      <c r="I226" s="7" t="str">
        <f>IFERROR(VLOOKUP($B226,'Raw Data by WH'!$A$1:$O$999999,10,FALSE),"")</f>
        <v/>
      </c>
    </row>
    <row r="227" spans="1:9" x14ac:dyDescent="0.3">
      <c r="A227">
        <f t="shared" si="6"/>
        <v>218</v>
      </c>
      <c r="B227" t="str">
        <f t="shared" si="7"/>
        <v>1-218</v>
      </c>
      <c r="C227" t="str">
        <f>IFERROR(VLOOKUP($B227,'Raw Data by WH'!$A$1:$O$999999,15,FALSE),"")</f>
        <v/>
      </c>
      <c r="D227" t="str">
        <f>IFERROR(VLOOKUP($B227,'Raw Data by WH'!$A$1:$O$999999,5,FALSE),"")</f>
        <v/>
      </c>
      <c r="E227" t="str">
        <f>IFERROR(VLOOKUP($B227,'Raw Data by WH'!$A$1:$O$999999,6,FALSE),"")</f>
        <v/>
      </c>
      <c r="F227" s="3" t="str">
        <f>IFERROR(VLOOKUP($B227,'Raw Data by WH'!$A$1:$O$999999,7,FALSE),"")</f>
        <v/>
      </c>
      <c r="G227" s="2" t="str">
        <f>IFERROR(VLOOKUP($B227,'Raw Data by WH'!$A$1:$O$999999,8,FALSE),"")</f>
        <v/>
      </c>
      <c r="H227" s="7" t="str">
        <f>IFERROR(VLOOKUP($B227,'Raw Data by WH'!$A$1:$O$999999,9,FALSE),"")</f>
        <v/>
      </c>
      <c r="I227" s="7" t="str">
        <f>IFERROR(VLOOKUP($B227,'Raw Data by WH'!$A$1:$O$999999,10,FALSE),"")</f>
        <v/>
      </c>
    </row>
    <row r="228" spans="1:9" x14ac:dyDescent="0.3">
      <c r="A228">
        <f t="shared" si="6"/>
        <v>219</v>
      </c>
      <c r="B228" t="str">
        <f t="shared" si="7"/>
        <v>1-219</v>
      </c>
      <c r="C228" t="str">
        <f>IFERROR(VLOOKUP($B228,'Raw Data by WH'!$A$1:$O$999999,15,FALSE),"")</f>
        <v/>
      </c>
      <c r="D228" t="str">
        <f>IFERROR(VLOOKUP($B228,'Raw Data by WH'!$A$1:$O$999999,5,FALSE),"")</f>
        <v/>
      </c>
      <c r="E228" t="str">
        <f>IFERROR(VLOOKUP($B228,'Raw Data by WH'!$A$1:$O$999999,6,FALSE),"")</f>
        <v/>
      </c>
      <c r="F228" s="3" t="str">
        <f>IFERROR(VLOOKUP($B228,'Raw Data by WH'!$A$1:$O$999999,7,FALSE),"")</f>
        <v/>
      </c>
      <c r="G228" s="2" t="str">
        <f>IFERROR(VLOOKUP($B228,'Raw Data by WH'!$A$1:$O$999999,8,FALSE),"")</f>
        <v/>
      </c>
      <c r="H228" s="7" t="str">
        <f>IFERROR(VLOOKUP($B228,'Raw Data by WH'!$A$1:$O$999999,9,FALSE),"")</f>
        <v/>
      </c>
      <c r="I228" s="7" t="str">
        <f>IFERROR(VLOOKUP($B228,'Raw Data by WH'!$A$1:$O$999999,10,FALSE),"")</f>
        <v/>
      </c>
    </row>
    <row r="229" spans="1:9" x14ac:dyDescent="0.3">
      <c r="A229">
        <f t="shared" ref="A229:A292" si="8">A228+1</f>
        <v>220</v>
      </c>
      <c r="B229" t="str">
        <f t="shared" si="7"/>
        <v>1-220</v>
      </c>
      <c r="C229" t="str">
        <f>IFERROR(VLOOKUP($B229,'Raw Data by WH'!$A$1:$O$999999,15,FALSE),"")</f>
        <v/>
      </c>
      <c r="D229" t="str">
        <f>IFERROR(VLOOKUP($B229,'Raw Data by WH'!$A$1:$O$999999,5,FALSE),"")</f>
        <v/>
      </c>
      <c r="E229" t="str">
        <f>IFERROR(VLOOKUP($B229,'Raw Data by WH'!$A$1:$O$999999,6,FALSE),"")</f>
        <v/>
      </c>
      <c r="F229" s="3" t="str">
        <f>IFERROR(VLOOKUP($B229,'Raw Data by WH'!$A$1:$O$999999,7,FALSE),"")</f>
        <v/>
      </c>
      <c r="G229" s="2" t="str">
        <f>IFERROR(VLOOKUP($B229,'Raw Data by WH'!$A$1:$O$999999,8,FALSE),"")</f>
        <v/>
      </c>
      <c r="H229" s="7" t="str">
        <f>IFERROR(VLOOKUP($B229,'Raw Data by WH'!$A$1:$O$999999,9,FALSE),"")</f>
        <v/>
      </c>
      <c r="I229" s="7" t="str">
        <f>IFERROR(VLOOKUP($B229,'Raw Data by WH'!$A$1:$O$999999,10,FALSE),"")</f>
        <v/>
      </c>
    </row>
    <row r="230" spans="1:9" x14ac:dyDescent="0.3">
      <c r="A230">
        <f t="shared" si="8"/>
        <v>221</v>
      </c>
      <c r="B230" t="str">
        <f t="shared" si="7"/>
        <v>1-221</v>
      </c>
      <c r="C230" t="str">
        <f>IFERROR(VLOOKUP($B230,'Raw Data by WH'!$A$1:$O$999999,15,FALSE),"")</f>
        <v/>
      </c>
      <c r="D230" t="str">
        <f>IFERROR(VLOOKUP($B230,'Raw Data by WH'!$A$1:$O$999999,5,FALSE),"")</f>
        <v/>
      </c>
      <c r="E230" t="str">
        <f>IFERROR(VLOOKUP($B230,'Raw Data by WH'!$A$1:$O$999999,6,FALSE),"")</f>
        <v/>
      </c>
      <c r="F230" s="3" t="str">
        <f>IFERROR(VLOOKUP($B230,'Raw Data by WH'!$A$1:$O$999999,7,FALSE),"")</f>
        <v/>
      </c>
      <c r="G230" s="2" t="str">
        <f>IFERROR(VLOOKUP($B230,'Raw Data by WH'!$A$1:$O$999999,8,FALSE),"")</f>
        <v/>
      </c>
      <c r="H230" s="7" t="str">
        <f>IFERROR(VLOOKUP($B230,'Raw Data by WH'!$A$1:$O$999999,9,FALSE),"")</f>
        <v/>
      </c>
      <c r="I230" s="7" t="str">
        <f>IFERROR(VLOOKUP($B230,'Raw Data by WH'!$A$1:$O$999999,10,FALSE),"")</f>
        <v/>
      </c>
    </row>
    <row r="231" spans="1:9" x14ac:dyDescent="0.3">
      <c r="A231">
        <f t="shared" si="8"/>
        <v>222</v>
      </c>
      <c r="B231" t="str">
        <f t="shared" si="7"/>
        <v>1-222</v>
      </c>
      <c r="C231" t="str">
        <f>IFERROR(VLOOKUP($B231,'Raw Data by WH'!$A$1:$O$999999,15,FALSE),"")</f>
        <v/>
      </c>
      <c r="D231" t="str">
        <f>IFERROR(VLOOKUP($B231,'Raw Data by WH'!$A$1:$O$999999,5,FALSE),"")</f>
        <v/>
      </c>
      <c r="E231" t="str">
        <f>IFERROR(VLOOKUP($B231,'Raw Data by WH'!$A$1:$O$999999,6,FALSE),"")</f>
        <v/>
      </c>
      <c r="F231" s="3" t="str">
        <f>IFERROR(VLOOKUP($B231,'Raw Data by WH'!$A$1:$O$999999,7,FALSE),"")</f>
        <v/>
      </c>
      <c r="G231" s="2" t="str">
        <f>IFERROR(VLOOKUP($B231,'Raw Data by WH'!$A$1:$O$999999,8,FALSE),"")</f>
        <v/>
      </c>
      <c r="H231" s="7" t="str">
        <f>IFERROR(VLOOKUP($B231,'Raw Data by WH'!$A$1:$O$999999,9,FALSE),"")</f>
        <v/>
      </c>
      <c r="I231" s="7" t="str">
        <f>IFERROR(VLOOKUP($B231,'Raw Data by WH'!$A$1:$O$999999,10,FALSE),"")</f>
        <v/>
      </c>
    </row>
    <row r="232" spans="1:9" x14ac:dyDescent="0.3">
      <c r="A232">
        <f t="shared" si="8"/>
        <v>223</v>
      </c>
      <c r="B232" t="str">
        <f t="shared" si="7"/>
        <v>1-223</v>
      </c>
      <c r="C232" t="str">
        <f>IFERROR(VLOOKUP($B232,'Raw Data by WH'!$A$1:$O$999999,15,FALSE),"")</f>
        <v/>
      </c>
      <c r="D232" t="str">
        <f>IFERROR(VLOOKUP($B232,'Raw Data by WH'!$A$1:$O$999999,5,FALSE),"")</f>
        <v/>
      </c>
      <c r="E232" t="str">
        <f>IFERROR(VLOOKUP($B232,'Raw Data by WH'!$A$1:$O$999999,6,FALSE),"")</f>
        <v/>
      </c>
      <c r="F232" s="3" t="str">
        <f>IFERROR(VLOOKUP($B232,'Raw Data by WH'!$A$1:$O$999999,7,FALSE),"")</f>
        <v/>
      </c>
      <c r="G232" s="2" t="str">
        <f>IFERROR(VLOOKUP($B232,'Raw Data by WH'!$A$1:$O$999999,8,FALSE),"")</f>
        <v/>
      </c>
      <c r="H232" s="7" t="str">
        <f>IFERROR(VLOOKUP($B232,'Raw Data by WH'!$A$1:$O$999999,9,FALSE),"")</f>
        <v/>
      </c>
      <c r="I232" s="7" t="str">
        <f>IFERROR(VLOOKUP($B232,'Raw Data by WH'!$A$1:$O$999999,10,FALSE),"")</f>
        <v/>
      </c>
    </row>
    <row r="233" spans="1:9" x14ac:dyDescent="0.3">
      <c r="A233">
        <f t="shared" si="8"/>
        <v>224</v>
      </c>
      <c r="B233" t="str">
        <f t="shared" si="7"/>
        <v>1-224</v>
      </c>
      <c r="C233" t="str">
        <f>IFERROR(VLOOKUP($B233,'Raw Data by WH'!$A$1:$O$999999,15,FALSE),"")</f>
        <v/>
      </c>
      <c r="D233" t="str">
        <f>IFERROR(VLOOKUP($B233,'Raw Data by WH'!$A$1:$O$999999,5,FALSE),"")</f>
        <v/>
      </c>
      <c r="E233" t="str">
        <f>IFERROR(VLOOKUP($B233,'Raw Data by WH'!$A$1:$O$999999,6,FALSE),"")</f>
        <v/>
      </c>
      <c r="F233" s="3" t="str">
        <f>IFERROR(VLOOKUP($B233,'Raw Data by WH'!$A$1:$O$999999,7,FALSE),"")</f>
        <v/>
      </c>
      <c r="G233" s="2" t="str">
        <f>IFERROR(VLOOKUP($B233,'Raw Data by WH'!$A$1:$O$999999,8,FALSE),"")</f>
        <v/>
      </c>
      <c r="H233" s="7" t="str">
        <f>IFERROR(VLOOKUP($B233,'Raw Data by WH'!$A$1:$O$999999,9,FALSE),"")</f>
        <v/>
      </c>
      <c r="I233" s="7" t="str">
        <f>IFERROR(VLOOKUP($B233,'Raw Data by WH'!$A$1:$O$999999,10,FALSE),"")</f>
        <v/>
      </c>
    </row>
    <row r="234" spans="1:9" x14ac:dyDescent="0.3">
      <c r="A234">
        <f t="shared" si="8"/>
        <v>225</v>
      </c>
      <c r="B234" t="str">
        <f t="shared" si="7"/>
        <v>1-225</v>
      </c>
      <c r="C234" t="str">
        <f>IFERROR(VLOOKUP($B234,'Raw Data by WH'!$A$1:$O$999999,15,FALSE),"")</f>
        <v/>
      </c>
      <c r="D234" t="str">
        <f>IFERROR(VLOOKUP($B234,'Raw Data by WH'!$A$1:$O$999999,5,FALSE),"")</f>
        <v/>
      </c>
      <c r="E234" t="str">
        <f>IFERROR(VLOOKUP($B234,'Raw Data by WH'!$A$1:$O$999999,6,FALSE),"")</f>
        <v/>
      </c>
      <c r="F234" s="3" t="str">
        <f>IFERROR(VLOOKUP($B234,'Raw Data by WH'!$A$1:$O$999999,7,FALSE),"")</f>
        <v/>
      </c>
      <c r="G234" s="2" t="str">
        <f>IFERROR(VLOOKUP($B234,'Raw Data by WH'!$A$1:$O$999999,8,FALSE),"")</f>
        <v/>
      </c>
      <c r="H234" s="7" t="str">
        <f>IFERROR(VLOOKUP($B234,'Raw Data by WH'!$A$1:$O$999999,9,FALSE),"")</f>
        <v/>
      </c>
      <c r="I234" s="7" t="str">
        <f>IFERROR(VLOOKUP($B234,'Raw Data by WH'!$A$1:$O$999999,10,FALSE),"")</f>
        <v/>
      </c>
    </row>
    <row r="235" spans="1:9" x14ac:dyDescent="0.3">
      <c r="A235">
        <f t="shared" si="8"/>
        <v>226</v>
      </c>
      <c r="B235" t="str">
        <f t="shared" si="7"/>
        <v>1-226</v>
      </c>
      <c r="C235" t="str">
        <f>IFERROR(VLOOKUP($B235,'Raw Data by WH'!$A$1:$O$999999,15,FALSE),"")</f>
        <v/>
      </c>
      <c r="D235" t="str">
        <f>IFERROR(VLOOKUP($B235,'Raw Data by WH'!$A$1:$O$999999,5,FALSE),"")</f>
        <v/>
      </c>
      <c r="E235" t="str">
        <f>IFERROR(VLOOKUP($B235,'Raw Data by WH'!$A$1:$O$999999,6,FALSE),"")</f>
        <v/>
      </c>
      <c r="F235" s="3" t="str">
        <f>IFERROR(VLOOKUP($B235,'Raw Data by WH'!$A$1:$O$999999,7,FALSE),"")</f>
        <v/>
      </c>
      <c r="G235" s="2" t="str">
        <f>IFERROR(VLOOKUP($B235,'Raw Data by WH'!$A$1:$O$999999,8,FALSE),"")</f>
        <v/>
      </c>
      <c r="H235" s="7" t="str">
        <f>IFERROR(VLOOKUP($B235,'Raw Data by WH'!$A$1:$O$999999,9,FALSE),"")</f>
        <v/>
      </c>
      <c r="I235" s="7" t="str">
        <f>IFERROR(VLOOKUP($B235,'Raw Data by WH'!$A$1:$O$999999,10,FALSE),"")</f>
        <v/>
      </c>
    </row>
    <row r="236" spans="1:9" x14ac:dyDescent="0.3">
      <c r="A236">
        <f t="shared" si="8"/>
        <v>227</v>
      </c>
      <c r="B236" t="str">
        <f t="shared" si="7"/>
        <v>1-227</v>
      </c>
      <c r="C236" t="str">
        <f>IFERROR(VLOOKUP($B236,'Raw Data by WH'!$A$1:$O$999999,15,FALSE),"")</f>
        <v/>
      </c>
      <c r="D236" t="str">
        <f>IFERROR(VLOOKUP($B236,'Raw Data by WH'!$A$1:$O$999999,5,FALSE),"")</f>
        <v/>
      </c>
      <c r="E236" t="str">
        <f>IFERROR(VLOOKUP($B236,'Raw Data by WH'!$A$1:$O$999999,6,FALSE),"")</f>
        <v/>
      </c>
      <c r="F236" s="3" t="str">
        <f>IFERROR(VLOOKUP($B236,'Raw Data by WH'!$A$1:$O$999999,7,FALSE),"")</f>
        <v/>
      </c>
      <c r="G236" s="2" t="str">
        <f>IFERROR(VLOOKUP($B236,'Raw Data by WH'!$A$1:$O$999999,8,FALSE),"")</f>
        <v/>
      </c>
      <c r="H236" s="7" t="str">
        <f>IFERROR(VLOOKUP($B236,'Raw Data by WH'!$A$1:$O$999999,9,FALSE),"")</f>
        <v/>
      </c>
      <c r="I236" s="7" t="str">
        <f>IFERROR(VLOOKUP($B236,'Raw Data by WH'!$A$1:$O$999999,10,FALSE),"")</f>
        <v/>
      </c>
    </row>
    <row r="237" spans="1:9" x14ac:dyDescent="0.3">
      <c r="A237">
        <f t="shared" si="8"/>
        <v>228</v>
      </c>
      <c r="B237" t="str">
        <f t="shared" si="7"/>
        <v>1-228</v>
      </c>
      <c r="C237" t="str">
        <f>IFERROR(VLOOKUP($B237,'Raw Data by WH'!$A$1:$O$999999,15,FALSE),"")</f>
        <v/>
      </c>
      <c r="D237" t="str">
        <f>IFERROR(VLOOKUP($B237,'Raw Data by WH'!$A$1:$O$999999,5,FALSE),"")</f>
        <v/>
      </c>
      <c r="E237" t="str">
        <f>IFERROR(VLOOKUP($B237,'Raw Data by WH'!$A$1:$O$999999,6,FALSE),"")</f>
        <v/>
      </c>
      <c r="F237" s="3" t="str">
        <f>IFERROR(VLOOKUP($B237,'Raw Data by WH'!$A$1:$O$999999,7,FALSE),"")</f>
        <v/>
      </c>
      <c r="G237" s="2" t="str">
        <f>IFERROR(VLOOKUP($B237,'Raw Data by WH'!$A$1:$O$999999,8,FALSE),"")</f>
        <v/>
      </c>
      <c r="H237" s="7" t="str">
        <f>IFERROR(VLOOKUP($B237,'Raw Data by WH'!$A$1:$O$999999,9,FALSE),"")</f>
        <v/>
      </c>
      <c r="I237" s="7" t="str">
        <f>IFERROR(VLOOKUP($B237,'Raw Data by WH'!$A$1:$O$999999,10,FALSE),"")</f>
        <v/>
      </c>
    </row>
    <row r="238" spans="1:9" x14ac:dyDescent="0.3">
      <c r="A238">
        <f t="shared" si="8"/>
        <v>229</v>
      </c>
      <c r="B238" t="str">
        <f t="shared" si="7"/>
        <v>1-229</v>
      </c>
      <c r="C238" t="str">
        <f>IFERROR(VLOOKUP($B238,'Raw Data by WH'!$A$1:$O$999999,15,FALSE),"")</f>
        <v/>
      </c>
      <c r="D238" t="str">
        <f>IFERROR(VLOOKUP($B238,'Raw Data by WH'!$A$1:$O$999999,5,FALSE),"")</f>
        <v/>
      </c>
      <c r="E238" t="str">
        <f>IFERROR(VLOOKUP($B238,'Raw Data by WH'!$A$1:$O$999999,6,FALSE),"")</f>
        <v/>
      </c>
      <c r="F238" s="3" t="str">
        <f>IFERROR(VLOOKUP($B238,'Raw Data by WH'!$A$1:$O$999999,7,FALSE),"")</f>
        <v/>
      </c>
      <c r="G238" s="2" t="str">
        <f>IFERROR(VLOOKUP($B238,'Raw Data by WH'!$A$1:$O$999999,8,FALSE),"")</f>
        <v/>
      </c>
      <c r="H238" s="7" t="str">
        <f>IFERROR(VLOOKUP($B238,'Raw Data by WH'!$A$1:$O$999999,9,FALSE),"")</f>
        <v/>
      </c>
      <c r="I238" s="7" t="str">
        <f>IFERROR(VLOOKUP($B238,'Raw Data by WH'!$A$1:$O$999999,10,FALSE),"")</f>
        <v/>
      </c>
    </row>
    <row r="239" spans="1:9" x14ac:dyDescent="0.3">
      <c r="A239">
        <f t="shared" si="8"/>
        <v>230</v>
      </c>
      <c r="B239" t="str">
        <f t="shared" si="7"/>
        <v>1-230</v>
      </c>
      <c r="C239" t="str">
        <f>IFERROR(VLOOKUP($B239,'Raw Data by WH'!$A$1:$O$999999,15,FALSE),"")</f>
        <v/>
      </c>
      <c r="D239" t="str">
        <f>IFERROR(VLOOKUP($B239,'Raw Data by WH'!$A$1:$O$999999,5,FALSE),"")</f>
        <v/>
      </c>
      <c r="E239" t="str">
        <f>IFERROR(VLOOKUP($B239,'Raw Data by WH'!$A$1:$O$999999,6,FALSE),"")</f>
        <v/>
      </c>
      <c r="F239" s="3" t="str">
        <f>IFERROR(VLOOKUP($B239,'Raw Data by WH'!$A$1:$O$999999,7,FALSE),"")</f>
        <v/>
      </c>
      <c r="G239" s="2" t="str">
        <f>IFERROR(VLOOKUP($B239,'Raw Data by WH'!$A$1:$O$999999,8,FALSE),"")</f>
        <v/>
      </c>
      <c r="H239" s="7" t="str">
        <f>IFERROR(VLOOKUP($B239,'Raw Data by WH'!$A$1:$O$999999,9,FALSE),"")</f>
        <v/>
      </c>
      <c r="I239" s="7" t="str">
        <f>IFERROR(VLOOKUP($B239,'Raw Data by WH'!$A$1:$O$999999,10,FALSE),"")</f>
        <v/>
      </c>
    </row>
    <row r="240" spans="1:9" x14ac:dyDescent="0.3">
      <c r="A240">
        <f t="shared" si="8"/>
        <v>231</v>
      </c>
      <c r="B240" t="str">
        <f t="shared" si="7"/>
        <v>1-231</v>
      </c>
      <c r="C240" t="str">
        <f>IFERROR(VLOOKUP($B240,'Raw Data by WH'!$A$1:$O$999999,15,FALSE),"")</f>
        <v/>
      </c>
      <c r="D240" t="str">
        <f>IFERROR(VLOOKUP($B240,'Raw Data by WH'!$A$1:$O$999999,5,FALSE),"")</f>
        <v/>
      </c>
      <c r="E240" t="str">
        <f>IFERROR(VLOOKUP($B240,'Raw Data by WH'!$A$1:$O$999999,6,FALSE),"")</f>
        <v/>
      </c>
      <c r="F240" s="3" t="str">
        <f>IFERROR(VLOOKUP($B240,'Raw Data by WH'!$A$1:$O$999999,7,FALSE),"")</f>
        <v/>
      </c>
      <c r="G240" s="2" t="str">
        <f>IFERROR(VLOOKUP($B240,'Raw Data by WH'!$A$1:$O$999999,8,FALSE),"")</f>
        <v/>
      </c>
      <c r="H240" s="7" t="str">
        <f>IFERROR(VLOOKUP($B240,'Raw Data by WH'!$A$1:$O$999999,9,FALSE),"")</f>
        <v/>
      </c>
      <c r="I240" s="7" t="str">
        <f>IFERROR(VLOOKUP($B240,'Raw Data by WH'!$A$1:$O$999999,10,FALSE),"")</f>
        <v/>
      </c>
    </row>
    <row r="241" spans="1:9" x14ac:dyDescent="0.3">
      <c r="A241">
        <f t="shared" si="8"/>
        <v>232</v>
      </c>
      <c r="B241" t="str">
        <f t="shared" si="7"/>
        <v>1-232</v>
      </c>
      <c r="C241" t="str">
        <f>IFERROR(VLOOKUP($B241,'Raw Data by WH'!$A$1:$O$999999,15,FALSE),"")</f>
        <v/>
      </c>
      <c r="D241" t="str">
        <f>IFERROR(VLOOKUP($B241,'Raw Data by WH'!$A$1:$O$999999,5,FALSE),"")</f>
        <v/>
      </c>
      <c r="E241" t="str">
        <f>IFERROR(VLOOKUP($B241,'Raw Data by WH'!$A$1:$O$999999,6,FALSE),"")</f>
        <v/>
      </c>
      <c r="F241" s="3" t="str">
        <f>IFERROR(VLOOKUP($B241,'Raw Data by WH'!$A$1:$O$999999,7,FALSE),"")</f>
        <v/>
      </c>
      <c r="G241" s="2" t="str">
        <f>IFERROR(VLOOKUP($B241,'Raw Data by WH'!$A$1:$O$999999,8,FALSE),"")</f>
        <v/>
      </c>
      <c r="H241" s="7" t="str">
        <f>IFERROR(VLOOKUP($B241,'Raw Data by WH'!$A$1:$O$999999,9,FALSE),"")</f>
        <v/>
      </c>
      <c r="I241" s="7" t="str">
        <f>IFERROR(VLOOKUP($B241,'Raw Data by WH'!$A$1:$O$999999,10,FALSE),"")</f>
        <v/>
      </c>
    </row>
    <row r="242" spans="1:9" x14ac:dyDescent="0.3">
      <c r="A242">
        <f t="shared" si="8"/>
        <v>233</v>
      </c>
      <c r="B242" t="str">
        <f t="shared" si="7"/>
        <v>1-233</v>
      </c>
      <c r="C242" t="str">
        <f>IFERROR(VLOOKUP($B242,'Raw Data by WH'!$A$1:$O$999999,15,FALSE),"")</f>
        <v/>
      </c>
      <c r="D242" t="str">
        <f>IFERROR(VLOOKUP($B242,'Raw Data by WH'!$A$1:$O$999999,5,FALSE),"")</f>
        <v/>
      </c>
      <c r="E242" t="str">
        <f>IFERROR(VLOOKUP($B242,'Raw Data by WH'!$A$1:$O$999999,6,FALSE),"")</f>
        <v/>
      </c>
      <c r="F242" s="3" t="str">
        <f>IFERROR(VLOOKUP($B242,'Raw Data by WH'!$A$1:$O$999999,7,FALSE),"")</f>
        <v/>
      </c>
      <c r="G242" s="2" t="str">
        <f>IFERROR(VLOOKUP($B242,'Raw Data by WH'!$A$1:$O$999999,8,FALSE),"")</f>
        <v/>
      </c>
      <c r="H242" s="7" t="str">
        <f>IFERROR(VLOOKUP($B242,'Raw Data by WH'!$A$1:$O$999999,9,FALSE),"")</f>
        <v/>
      </c>
      <c r="I242" s="7" t="str">
        <f>IFERROR(VLOOKUP($B242,'Raw Data by WH'!$A$1:$O$999999,10,FALSE),"")</f>
        <v/>
      </c>
    </row>
    <row r="243" spans="1:9" x14ac:dyDescent="0.3">
      <c r="A243">
        <f t="shared" si="8"/>
        <v>234</v>
      </c>
      <c r="B243" t="str">
        <f t="shared" si="7"/>
        <v>1-234</v>
      </c>
      <c r="C243" t="str">
        <f>IFERROR(VLOOKUP($B243,'Raw Data by WH'!$A$1:$O$999999,15,FALSE),"")</f>
        <v/>
      </c>
      <c r="D243" t="str">
        <f>IFERROR(VLOOKUP($B243,'Raw Data by WH'!$A$1:$O$999999,5,FALSE),"")</f>
        <v/>
      </c>
      <c r="E243" t="str">
        <f>IFERROR(VLOOKUP($B243,'Raw Data by WH'!$A$1:$O$999999,6,FALSE),"")</f>
        <v/>
      </c>
      <c r="F243" s="3" t="str">
        <f>IFERROR(VLOOKUP($B243,'Raw Data by WH'!$A$1:$O$999999,7,FALSE),"")</f>
        <v/>
      </c>
      <c r="G243" s="2" t="str">
        <f>IFERROR(VLOOKUP($B243,'Raw Data by WH'!$A$1:$O$999999,8,FALSE),"")</f>
        <v/>
      </c>
      <c r="H243" s="7" t="str">
        <f>IFERROR(VLOOKUP($B243,'Raw Data by WH'!$A$1:$O$999999,9,FALSE),"")</f>
        <v/>
      </c>
      <c r="I243" s="7" t="str">
        <f>IFERROR(VLOOKUP($B243,'Raw Data by WH'!$A$1:$O$999999,10,FALSE),"")</f>
        <v/>
      </c>
    </row>
    <row r="244" spans="1:9" x14ac:dyDescent="0.3">
      <c r="A244">
        <f t="shared" si="8"/>
        <v>235</v>
      </c>
      <c r="B244" t="str">
        <f t="shared" si="7"/>
        <v>1-235</v>
      </c>
      <c r="C244" t="str">
        <f>IFERROR(VLOOKUP($B244,'Raw Data by WH'!$A$1:$O$999999,15,FALSE),"")</f>
        <v/>
      </c>
      <c r="D244" t="str">
        <f>IFERROR(VLOOKUP($B244,'Raw Data by WH'!$A$1:$O$999999,5,FALSE),"")</f>
        <v/>
      </c>
      <c r="E244" t="str">
        <f>IFERROR(VLOOKUP($B244,'Raw Data by WH'!$A$1:$O$999999,6,FALSE),"")</f>
        <v/>
      </c>
      <c r="F244" s="3" t="str">
        <f>IFERROR(VLOOKUP($B244,'Raw Data by WH'!$A$1:$O$999999,7,FALSE),"")</f>
        <v/>
      </c>
      <c r="G244" s="2" t="str">
        <f>IFERROR(VLOOKUP($B244,'Raw Data by WH'!$A$1:$O$999999,8,FALSE),"")</f>
        <v/>
      </c>
      <c r="H244" s="7" t="str">
        <f>IFERROR(VLOOKUP($B244,'Raw Data by WH'!$A$1:$O$999999,9,FALSE),"")</f>
        <v/>
      </c>
      <c r="I244" s="7" t="str">
        <f>IFERROR(VLOOKUP($B244,'Raw Data by WH'!$A$1:$O$999999,10,FALSE),"")</f>
        <v/>
      </c>
    </row>
    <row r="245" spans="1:9" x14ac:dyDescent="0.3">
      <c r="A245">
        <f t="shared" si="8"/>
        <v>236</v>
      </c>
      <c r="B245" t="str">
        <f t="shared" si="7"/>
        <v>1-236</v>
      </c>
      <c r="C245" t="str">
        <f>IFERROR(VLOOKUP($B245,'Raw Data by WH'!$A$1:$O$999999,15,FALSE),"")</f>
        <v/>
      </c>
      <c r="D245" t="str">
        <f>IFERROR(VLOOKUP($B245,'Raw Data by WH'!$A$1:$O$999999,5,FALSE),"")</f>
        <v/>
      </c>
      <c r="E245" t="str">
        <f>IFERROR(VLOOKUP($B245,'Raw Data by WH'!$A$1:$O$999999,6,FALSE),"")</f>
        <v/>
      </c>
      <c r="F245" s="3" t="str">
        <f>IFERROR(VLOOKUP($B245,'Raw Data by WH'!$A$1:$O$999999,7,FALSE),"")</f>
        <v/>
      </c>
      <c r="G245" s="2" t="str">
        <f>IFERROR(VLOOKUP($B245,'Raw Data by WH'!$A$1:$O$999999,8,FALSE),"")</f>
        <v/>
      </c>
      <c r="H245" s="7" t="str">
        <f>IFERROR(VLOOKUP($B245,'Raw Data by WH'!$A$1:$O$999999,9,FALSE),"")</f>
        <v/>
      </c>
      <c r="I245" s="7" t="str">
        <f>IFERROR(VLOOKUP($B245,'Raw Data by WH'!$A$1:$O$999999,10,FALSE),"")</f>
        <v/>
      </c>
    </row>
    <row r="246" spans="1:9" x14ac:dyDescent="0.3">
      <c r="A246">
        <f t="shared" si="8"/>
        <v>237</v>
      </c>
      <c r="B246" t="str">
        <f t="shared" si="7"/>
        <v>1-237</v>
      </c>
      <c r="C246" t="str">
        <f>IFERROR(VLOOKUP($B246,'Raw Data by WH'!$A$1:$O$999999,15,FALSE),"")</f>
        <v/>
      </c>
      <c r="D246" t="str">
        <f>IFERROR(VLOOKUP($B246,'Raw Data by WH'!$A$1:$O$999999,5,FALSE),"")</f>
        <v/>
      </c>
      <c r="E246" t="str">
        <f>IFERROR(VLOOKUP($B246,'Raw Data by WH'!$A$1:$O$999999,6,FALSE),"")</f>
        <v/>
      </c>
      <c r="F246" s="3" t="str">
        <f>IFERROR(VLOOKUP($B246,'Raw Data by WH'!$A$1:$O$999999,7,FALSE),"")</f>
        <v/>
      </c>
      <c r="G246" s="2" t="str">
        <f>IFERROR(VLOOKUP($B246,'Raw Data by WH'!$A$1:$O$999999,8,FALSE),"")</f>
        <v/>
      </c>
      <c r="H246" s="7" t="str">
        <f>IFERROR(VLOOKUP($B246,'Raw Data by WH'!$A$1:$O$999999,9,FALSE),"")</f>
        <v/>
      </c>
      <c r="I246" s="7" t="str">
        <f>IFERROR(VLOOKUP($B246,'Raw Data by WH'!$A$1:$O$999999,10,FALSE),"")</f>
        <v/>
      </c>
    </row>
    <row r="247" spans="1:9" x14ac:dyDescent="0.3">
      <c r="A247">
        <f t="shared" si="8"/>
        <v>238</v>
      </c>
      <c r="B247" t="str">
        <f t="shared" ref="B247:B304" si="9">$D$1&amp;"-"&amp;A247</f>
        <v>1-238</v>
      </c>
      <c r="C247" t="str">
        <f>IFERROR(VLOOKUP($B247,'Raw Data by WH'!$A$1:$O$999999,15,FALSE),"")</f>
        <v/>
      </c>
      <c r="D247" t="str">
        <f>IFERROR(VLOOKUP($B247,'Raw Data by WH'!$A$1:$O$999999,5,FALSE),"")</f>
        <v/>
      </c>
      <c r="E247" t="str">
        <f>IFERROR(VLOOKUP($B247,'Raw Data by WH'!$A$1:$O$999999,6,FALSE),"")</f>
        <v/>
      </c>
      <c r="F247" s="3" t="str">
        <f>IFERROR(VLOOKUP($B247,'Raw Data by WH'!$A$1:$O$999999,7,FALSE),"")</f>
        <v/>
      </c>
      <c r="G247" s="2" t="str">
        <f>IFERROR(VLOOKUP($B247,'Raw Data by WH'!$A$1:$O$999999,8,FALSE),"")</f>
        <v/>
      </c>
      <c r="H247" s="7" t="str">
        <f>IFERROR(VLOOKUP($B247,'Raw Data by WH'!$A$1:$O$999999,9,FALSE),"")</f>
        <v/>
      </c>
      <c r="I247" s="7" t="str">
        <f>IFERROR(VLOOKUP($B247,'Raw Data by WH'!$A$1:$O$999999,10,FALSE),"")</f>
        <v/>
      </c>
    </row>
    <row r="248" spans="1:9" x14ac:dyDescent="0.3">
      <c r="A248">
        <f t="shared" si="8"/>
        <v>239</v>
      </c>
      <c r="B248" t="str">
        <f t="shared" si="9"/>
        <v>1-239</v>
      </c>
      <c r="C248" t="str">
        <f>IFERROR(VLOOKUP($B248,'Raw Data by WH'!$A$1:$O$999999,15,FALSE),"")</f>
        <v/>
      </c>
      <c r="D248" t="str">
        <f>IFERROR(VLOOKUP($B248,'Raw Data by WH'!$A$1:$O$999999,5,FALSE),"")</f>
        <v/>
      </c>
      <c r="E248" t="str">
        <f>IFERROR(VLOOKUP($B248,'Raw Data by WH'!$A$1:$O$999999,6,FALSE),"")</f>
        <v/>
      </c>
      <c r="F248" s="3" t="str">
        <f>IFERROR(VLOOKUP($B248,'Raw Data by WH'!$A$1:$O$999999,7,FALSE),"")</f>
        <v/>
      </c>
      <c r="G248" s="2" t="str">
        <f>IFERROR(VLOOKUP($B248,'Raw Data by WH'!$A$1:$O$999999,8,FALSE),"")</f>
        <v/>
      </c>
      <c r="H248" s="7" t="str">
        <f>IFERROR(VLOOKUP($B248,'Raw Data by WH'!$A$1:$O$999999,9,FALSE),"")</f>
        <v/>
      </c>
      <c r="I248" s="7" t="str">
        <f>IFERROR(VLOOKUP($B248,'Raw Data by WH'!$A$1:$O$999999,10,FALSE),"")</f>
        <v/>
      </c>
    </row>
    <row r="249" spans="1:9" x14ac:dyDescent="0.3">
      <c r="A249">
        <f t="shared" si="8"/>
        <v>240</v>
      </c>
      <c r="B249" t="str">
        <f t="shared" si="9"/>
        <v>1-240</v>
      </c>
      <c r="C249" t="str">
        <f>IFERROR(VLOOKUP($B249,'Raw Data by WH'!$A$1:$O$999999,15,FALSE),"")</f>
        <v/>
      </c>
      <c r="D249" t="str">
        <f>IFERROR(VLOOKUP($B249,'Raw Data by WH'!$A$1:$O$999999,5,FALSE),"")</f>
        <v/>
      </c>
      <c r="E249" t="str">
        <f>IFERROR(VLOOKUP($B249,'Raw Data by WH'!$A$1:$O$999999,6,FALSE),"")</f>
        <v/>
      </c>
      <c r="F249" s="3" t="str">
        <f>IFERROR(VLOOKUP($B249,'Raw Data by WH'!$A$1:$O$999999,7,FALSE),"")</f>
        <v/>
      </c>
      <c r="G249" s="2" t="str">
        <f>IFERROR(VLOOKUP($B249,'Raw Data by WH'!$A$1:$O$999999,8,FALSE),"")</f>
        <v/>
      </c>
      <c r="H249" s="7" t="str">
        <f>IFERROR(VLOOKUP($B249,'Raw Data by WH'!$A$1:$O$999999,9,FALSE),"")</f>
        <v/>
      </c>
      <c r="I249" s="7" t="str">
        <f>IFERROR(VLOOKUP($B249,'Raw Data by WH'!$A$1:$O$999999,10,FALSE),"")</f>
        <v/>
      </c>
    </row>
    <row r="250" spans="1:9" x14ac:dyDescent="0.3">
      <c r="A250">
        <f t="shared" si="8"/>
        <v>241</v>
      </c>
      <c r="B250" t="str">
        <f t="shared" si="9"/>
        <v>1-241</v>
      </c>
      <c r="C250" t="str">
        <f>IFERROR(VLOOKUP($B250,'Raw Data by WH'!$A$1:$O$999999,15,FALSE),"")</f>
        <v/>
      </c>
      <c r="D250" t="str">
        <f>IFERROR(VLOOKUP($B250,'Raw Data by WH'!$A$1:$O$999999,5,FALSE),"")</f>
        <v/>
      </c>
      <c r="E250" t="str">
        <f>IFERROR(VLOOKUP($B250,'Raw Data by WH'!$A$1:$O$999999,6,FALSE),"")</f>
        <v/>
      </c>
      <c r="F250" s="3" t="str">
        <f>IFERROR(VLOOKUP($B250,'Raw Data by WH'!$A$1:$O$999999,7,FALSE),"")</f>
        <v/>
      </c>
      <c r="G250" s="2" t="str">
        <f>IFERROR(VLOOKUP($B250,'Raw Data by WH'!$A$1:$O$999999,8,FALSE),"")</f>
        <v/>
      </c>
      <c r="H250" s="7" t="str">
        <f>IFERROR(VLOOKUP($B250,'Raw Data by WH'!$A$1:$O$999999,9,FALSE),"")</f>
        <v/>
      </c>
      <c r="I250" s="7" t="str">
        <f>IFERROR(VLOOKUP($B250,'Raw Data by WH'!$A$1:$O$999999,10,FALSE),"")</f>
        <v/>
      </c>
    </row>
    <row r="251" spans="1:9" x14ac:dyDescent="0.3">
      <c r="A251">
        <f t="shared" si="8"/>
        <v>242</v>
      </c>
      <c r="B251" t="str">
        <f t="shared" si="9"/>
        <v>1-242</v>
      </c>
      <c r="C251" t="str">
        <f>IFERROR(VLOOKUP($B251,'Raw Data by WH'!$A$1:$O$999999,15,FALSE),"")</f>
        <v/>
      </c>
      <c r="D251" t="str">
        <f>IFERROR(VLOOKUP($B251,'Raw Data by WH'!$A$1:$O$999999,5,FALSE),"")</f>
        <v/>
      </c>
      <c r="E251" t="str">
        <f>IFERROR(VLOOKUP($B251,'Raw Data by WH'!$A$1:$O$999999,6,FALSE),"")</f>
        <v/>
      </c>
      <c r="F251" s="3" t="str">
        <f>IFERROR(VLOOKUP($B251,'Raw Data by WH'!$A$1:$O$999999,7,FALSE),"")</f>
        <v/>
      </c>
      <c r="G251" s="2" t="str">
        <f>IFERROR(VLOOKUP($B251,'Raw Data by WH'!$A$1:$O$999999,8,FALSE),"")</f>
        <v/>
      </c>
      <c r="H251" s="7" t="str">
        <f>IFERROR(VLOOKUP($B251,'Raw Data by WH'!$A$1:$O$999999,9,FALSE),"")</f>
        <v/>
      </c>
      <c r="I251" s="7" t="str">
        <f>IFERROR(VLOOKUP($B251,'Raw Data by WH'!$A$1:$O$999999,10,FALSE),"")</f>
        <v/>
      </c>
    </row>
    <row r="252" spans="1:9" x14ac:dyDescent="0.3">
      <c r="A252">
        <f t="shared" si="8"/>
        <v>243</v>
      </c>
      <c r="B252" t="str">
        <f t="shared" si="9"/>
        <v>1-243</v>
      </c>
      <c r="C252" t="str">
        <f>IFERROR(VLOOKUP($B252,'Raw Data by WH'!$A$1:$O$999999,15,FALSE),"")</f>
        <v/>
      </c>
      <c r="D252" t="str">
        <f>IFERROR(VLOOKUP($B252,'Raw Data by WH'!$A$1:$O$999999,5,FALSE),"")</f>
        <v/>
      </c>
      <c r="E252" t="str">
        <f>IFERROR(VLOOKUP($B252,'Raw Data by WH'!$A$1:$O$999999,6,FALSE),"")</f>
        <v/>
      </c>
      <c r="F252" s="3" t="str">
        <f>IFERROR(VLOOKUP($B252,'Raw Data by WH'!$A$1:$O$999999,7,FALSE),"")</f>
        <v/>
      </c>
      <c r="G252" s="2" t="str">
        <f>IFERROR(VLOOKUP($B252,'Raw Data by WH'!$A$1:$O$999999,8,FALSE),"")</f>
        <v/>
      </c>
      <c r="H252" s="7" t="str">
        <f>IFERROR(VLOOKUP($B252,'Raw Data by WH'!$A$1:$O$999999,9,FALSE),"")</f>
        <v/>
      </c>
      <c r="I252" s="7" t="str">
        <f>IFERROR(VLOOKUP($B252,'Raw Data by WH'!$A$1:$O$999999,10,FALSE),"")</f>
        <v/>
      </c>
    </row>
    <row r="253" spans="1:9" x14ac:dyDescent="0.3">
      <c r="A253">
        <f t="shared" si="8"/>
        <v>244</v>
      </c>
      <c r="B253" t="str">
        <f t="shared" si="9"/>
        <v>1-244</v>
      </c>
      <c r="C253" t="str">
        <f>IFERROR(VLOOKUP($B253,'Raw Data by WH'!$A$1:$O$999999,15,FALSE),"")</f>
        <v/>
      </c>
      <c r="D253" t="str">
        <f>IFERROR(VLOOKUP($B253,'Raw Data by WH'!$A$1:$O$999999,5,FALSE),"")</f>
        <v/>
      </c>
      <c r="E253" t="str">
        <f>IFERROR(VLOOKUP($B253,'Raw Data by WH'!$A$1:$O$999999,6,FALSE),"")</f>
        <v/>
      </c>
      <c r="F253" s="3" t="str">
        <f>IFERROR(VLOOKUP($B253,'Raw Data by WH'!$A$1:$O$999999,7,FALSE),"")</f>
        <v/>
      </c>
      <c r="G253" s="2" t="str">
        <f>IFERROR(VLOOKUP($B253,'Raw Data by WH'!$A$1:$O$999999,8,FALSE),"")</f>
        <v/>
      </c>
      <c r="H253" s="7" t="str">
        <f>IFERROR(VLOOKUP($B253,'Raw Data by WH'!$A$1:$O$999999,9,FALSE),"")</f>
        <v/>
      </c>
      <c r="I253" s="7" t="str">
        <f>IFERROR(VLOOKUP($B253,'Raw Data by WH'!$A$1:$O$999999,10,FALSE),"")</f>
        <v/>
      </c>
    </row>
    <row r="254" spans="1:9" x14ac:dyDescent="0.3">
      <c r="A254">
        <f t="shared" si="8"/>
        <v>245</v>
      </c>
      <c r="B254" t="str">
        <f t="shared" si="9"/>
        <v>1-245</v>
      </c>
      <c r="C254" t="str">
        <f>IFERROR(VLOOKUP($B254,'Raw Data by WH'!$A$1:$O$999999,15,FALSE),"")</f>
        <v/>
      </c>
      <c r="D254" t="str">
        <f>IFERROR(VLOOKUP($B254,'Raw Data by WH'!$A$1:$O$999999,5,FALSE),"")</f>
        <v/>
      </c>
      <c r="E254" t="str">
        <f>IFERROR(VLOOKUP($B254,'Raw Data by WH'!$A$1:$O$999999,6,FALSE),"")</f>
        <v/>
      </c>
      <c r="F254" s="3" t="str">
        <f>IFERROR(VLOOKUP($B254,'Raw Data by WH'!$A$1:$O$999999,7,FALSE),"")</f>
        <v/>
      </c>
      <c r="G254" s="2" t="str">
        <f>IFERROR(VLOOKUP($B254,'Raw Data by WH'!$A$1:$O$999999,8,FALSE),"")</f>
        <v/>
      </c>
      <c r="H254" s="7" t="str">
        <f>IFERROR(VLOOKUP($B254,'Raw Data by WH'!$A$1:$O$999999,9,FALSE),"")</f>
        <v/>
      </c>
      <c r="I254" s="7" t="str">
        <f>IFERROR(VLOOKUP($B254,'Raw Data by WH'!$A$1:$O$999999,10,FALSE),"")</f>
        <v/>
      </c>
    </row>
    <row r="255" spans="1:9" x14ac:dyDescent="0.3">
      <c r="A255">
        <f t="shared" si="8"/>
        <v>246</v>
      </c>
      <c r="B255" t="str">
        <f t="shared" si="9"/>
        <v>1-246</v>
      </c>
      <c r="C255" t="str">
        <f>IFERROR(VLOOKUP($B255,'Raw Data by WH'!$A$1:$O$999999,15,FALSE),"")</f>
        <v/>
      </c>
      <c r="D255" t="str">
        <f>IFERROR(VLOOKUP($B255,'Raw Data by WH'!$A$1:$O$999999,5,FALSE),"")</f>
        <v/>
      </c>
      <c r="E255" t="str">
        <f>IFERROR(VLOOKUP($B255,'Raw Data by WH'!$A$1:$O$999999,6,FALSE),"")</f>
        <v/>
      </c>
      <c r="F255" s="3" t="str">
        <f>IFERROR(VLOOKUP($B255,'Raw Data by WH'!$A$1:$O$999999,7,FALSE),"")</f>
        <v/>
      </c>
      <c r="G255" s="2" t="str">
        <f>IFERROR(VLOOKUP($B255,'Raw Data by WH'!$A$1:$O$999999,8,FALSE),"")</f>
        <v/>
      </c>
      <c r="H255" s="7" t="str">
        <f>IFERROR(VLOOKUP($B255,'Raw Data by WH'!$A$1:$O$999999,9,FALSE),"")</f>
        <v/>
      </c>
      <c r="I255" s="7" t="str">
        <f>IFERROR(VLOOKUP($B255,'Raw Data by WH'!$A$1:$O$999999,10,FALSE),"")</f>
        <v/>
      </c>
    </row>
    <row r="256" spans="1:9" x14ac:dyDescent="0.3">
      <c r="A256">
        <f t="shared" si="8"/>
        <v>247</v>
      </c>
      <c r="B256" t="str">
        <f t="shared" si="9"/>
        <v>1-247</v>
      </c>
      <c r="C256" t="str">
        <f>IFERROR(VLOOKUP($B256,'Raw Data by WH'!$A$1:$O$999999,15,FALSE),"")</f>
        <v/>
      </c>
      <c r="D256" t="str">
        <f>IFERROR(VLOOKUP($B256,'Raw Data by WH'!$A$1:$O$999999,5,FALSE),"")</f>
        <v/>
      </c>
      <c r="E256" t="str">
        <f>IFERROR(VLOOKUP($B256,'Raw Data by WH'!$A$1:$O$999999,6,FALSE),"")</f>
        <v/>
      </c>
      <c r="F256" s="3" t="str">
        <f>IFERROR(VLOOKUP($B256,'Raw Data by WH'!$A$1:$O$999999,7,FALSE),"")</f>
        <v/>
      </c>
      <c r="G256" s="2" t="str">
        <f>IFERROR(VLOOKUP($B256,'Raw Data by WH'!$A$1:$O$999999,8,FALSE),"")</f>
        <v/>
      </c>
      <c r="H256" s="7" t="str">
        <f>IFERROR(VLOOKUP($B256,'Raw Data by WH'!$A$1:$O$999999,9,FALSE),"")</f>
        <v/>
      </c>
      <c r="I256" s="7" t="str">
        <f>IFERROR(VLOOKUP($B256,'Raw Data by WH'!$A$1:$O$999999,10,FALSE),"")</f>
        <v/>
      </c>
    </row>
    <row r="257" spans="1:9" x14ac:dyDescent="0.3">
      <c r="A257">
        <f t="shared" si="8"/>
        <v>248</v>
      </c>
      <c r="B257" t="str">
        <f t="shared" si="9"/>
        <v>1-248</v>
      </c>
      <c r="C257" t="str">
        <f>IFERROR(VLOOKUP($B257,'Raw Data by WH'!$A$1:$O$999999,15,FALSE),"")</f>
        <v/>
      </c>
      <c r="D257" t="str">
        <f>IFERROR(VLOOKUP($B257,'Raw Data by WH'!$A$1:$O$999999,5,FALSE),"")</f>
        <v/>
      </c>
      <c r="E257" t="str">
        <f>IFERROR(VLOOKUP($B257,'Raw Data by WH'!$A$1:$O$999999,6,FALSE),"")</f>
        <v/>
      </c>
      <c r="F257" s="3" t="str">
        <f>IFERROR(VLOOKUP($B257,'Raw Data by WH'!$A$1:$O$999999,7,FALSE),"")</f>
        <v/>
      </c>
      <c r="G257" s="2" t="str">
        <f>IFERROR(VLOOKUP($B257,'Raw Data by WH'!$A$1:$O$999999,8,FALSE),"")</f>
        <v/>
      </c>
      <c r="H257" s="7" t="str">
        <f>IFERROR(VLOOKUP($B257,'Raw Data by WH'!$A$1:$O$999999,9,FALSE),"")</f>
        <v/>
      </c>
      <c r="I257" s="7" t="str">
        <f>IFERROR(VLOOKUP($B257,'Raw Data by WH'!$A$1:$O$999999,10,FALSE),"")</f>
        <v/>
      </c>
    </row>
    <row r="258" spans="1:9" x14ac:dyDescent="0.3">
      <c r="A258">
        <f t="shared" si="8"/>
        <v>249</v>
      </c>
      <c r="B258" t="str">
        <f t="shared" si="9"/>
        <v>1-249</v>
      </c>
      <c r="C258" t="str">
        <f>IFERROR(VLOOKUP($B258,'Raw Data by WH'!$A$1:$O$999999,15,FALSE),"")</f>
        <v/>
      </c>
      <c r="D258" t="str">
        <f>IFERROR(VLOOKUP($B258,'Raw Data by WH'!$A$1:$O$999999,5,FALSE),"")</f>
        <v/>
      </c>
      <c r="E258" t="str">
        <f>IFERROR(VLOOKUP($B258,'Raw Data by WH'!$A$1:$O$999999,6,FALSE),"")</f>
        <v/>
      </c>
      <c r="F258" s="3" t="str">
        <f>IFERROR(VLOOKUP($B258,'Raw Data by WH'!$A$1:$O$999999,7,FALSE),"")</f>
        <v/>
      </c>
      <c r="G258" s="2" t="str">
        <f>IFERROR(VLOOKUP($B258,'Raw Data by WH'!$A$1:$O$999999,8,FALSE),"")</f>
        <v/>
      </c>
      <c r="H258" s="7" t="str">
        <f>IFERROR(VLOOKUP($B258,'Raw Data by WH'!$A$1:$O$999999,9,FALSE),"")</f>
        <v/>
      </c>
      <c r="I258" s="7" t="str">
        <f>IFERROR(VLOOKUP($B258,'Raw Data by WH'!$A$1:$O$999999,10,FALSE),"")</f>
        <v/>
      </c>
    </row>
    <row r="259" spans="1:9" x14ac:dyDescent="0.3">
      <c r="A259">
        <f t="shared" si="8"/>
        <v>250</v>
      </c>
      <c r="B259" t="str">
        <f t="shared" si="9"/>
        <v>1-250</v>
      </c>
      <c r="C259" t="str">
        <f>IFERROR(VLOOKUP($B259,'Raw Data by WH'!$A$1:$O$999999,15,FALSE),"")</f>
        <v/>
      </c>
      <c r="D259" t="str">
        <f>IFERROR(VLOOKUP($B259,'Raw Data by WH'!$A$1:$O$999999,5,FALSE),"")</f>
        <v/>
      </c>
      <c r="E259" t="str">
        <f>IFERROR(VLOOKUP($B259,'Raw Data by WH'!$A$1:$O$999999,6,FALSE),"")</f>
        <v/>
      </c>
      <c r="F259" s="3" t="str">
        <f>IFERROR(VLOOKUP($B259,'Raw Data by WH'!$A$1:$O$999999,7,FALSE),"")</f>
        <v/>
      </c>
      <c r="G259" s="2" t="str">
        <f>IFERROR(VLOOKUP($B259,'Raw Data by WH'!$A$1:$O$999999,8,FALSE),"")</f>
        <v/>
      </c>
      <c r="H259" s="7" t="str">
        <f>IFERROR(VLOOKUP($B259,'Raw Data by WH'!$A$1:$O$999999,9,FALSE),"")</f>
        <v/>
      </c>
      <c r="I259" s="7" t="str">
        <f>IFERROR(VLOOKUP($B259,'Raw Data by WH'!$A$1:$O$999999,10,FALSE),"")</f>
        <v/>
      </c>
    </row>
    <row r="260" spans="1:9" x14ac:dyDescent="0.3">
      <c r="A260">
        <f t="shared" si="8"/>
        <v>251</v>
      </c>
      <c r="B260" t="str">
        <f t="shared" si="9"/>
        <v>1-251</v>
      </c>
      <c r="C260" t="str">
        <f>IFERROR(VLOOKUP($B260,'Raw Data by WH'!$A$1:$O$999999,15,FALSE),"")</f>
        <v/>
      </c>
      <c r="D260" t="str">
        <f>IFERROR(VLOOKUP($B260,'Raw Data by WH'!$A$1:$O$999999,5,FALSE),"")</f>
        <v/>
      </c>
      <c r="E260" t="str">
        <f>IFERROR(VLOOKUP($B260,'Raw Data by WH'!$A$1:$O$999999,6,FALSE),"")</f>
        <v/>
      </c>
      <c r="F260" s="3" t="str">
        <f>IFERROR(VLOOKUP($B260,'Raw Data by WH'!$A$1:$O$999999,7,FALSE),"")</f>
        <v/>
      </c>
      <c r="G260" s="2" t="str">
        <f>IFERROR(VLOOKUP($B260,'Raw Data by WH'!$A$1:$O$999999,8,FALSE),"")</f>
        <v/>
      </c>
      <c r="H260" s="7" t="str">
        <f>IFERROR(VLOOKUP($B260,'Raw Data by WH'!$A$1:$O$999999,9,FALSE),"")</f>
        <v/>
      </c>
      <c r="I260" s="7" t="str">
        <f>IFERROR(VLOOKUP($B260,'Raw Data by WH'!$A$1:$O$999999,10,FALSE),"")</f>
        <v/>
      </c>
    </row>
    <row r="261" spans="1:9" x14ac:dyDescent="0.3">
      <c r="A261">
        <f t="shared" si="8"/>
        <v>252</v>
      </c>
      <c r="B261" t="str">
        <f t="shared" si="9"/>
        <v>1-252</v>
      </c>
      <c r="C261" t="str">
        <f>IFERROR(VLOOKUP($B261,'Raw Data by WH'!$A$1:$O$999999,15,FALSE),"")</f>
        <v/>
      </c>
      <c r="D261" t="str">
        <f>IFERROR(VLOOKUP($B261,'Raw Data by WH'!$A$1:$O$999999,5,FALSE),"")</f>
        <v/>
      </c>
      <c r="E261" t="str">
        <f>IFERROR(VLOOKUP($B261,'Raw Data by WH'!$A$1:$O$999999,6,FALSE),"")</f>
        <v/>
      </c>
      <c r="F261" s="3" t="str">
        <f>IFERROR(VLOOKUP($B261,'Raw Data by WH'!$A$1:$O$999999,7,FALSE),"")</f>
        <v/>
      </c>
      <c r="G261" s="2" t="str">
        <f>IFERROR(VLOOKUP($B261,'Raw Data by WH'!$A$1:$O$999999,8,FALSE),"")</f>
        <v/>
      </c>
      <c r="H261" s="7" t="str">
        <f>IFERROR(VLOOKUP($B261,'Raw Data by WH'!$A$1:$O$999999,9,FALSE),"")</f>
        <v/>
      </c>
      <c r="I261" s="7" t="str">
        <f>IFERROR(VLOOKUP($B261,'Raw Data by WH'!$A$1:$O$999999,10,FALSE),"")</f>
        <v/>
      </c>
    </row>
    <row r="262" spans="1:9" x14ac:dyDescent="0.3">
      <c r="A262">
        <f t="shared" si="8"/>
        <v>253</v>
      </c>
      <c r="B262" t="str">
        <f t="shared" si="9"/>
        <v>1-253</v>
      </c>
      <c r="C262" t="str">
        <f>IFERROR(VLOOKUP($B262,'Raw Data by WH'!$A$1:$O$999999,15,FALSE),"")</f>
        <v/>
      </c>
      <c r="D262" t="str">
        <f>IFERROR(VLOOKUP($B262,'Raw Data by WH'!$A$1:$O$999999,5,FALSE),"")</f>
        <v/>
      </c>
      <c r="E262" t="str">
        <f>IFERROR(VLOOKUP($B262,'Raw Data by WH'!$A$1:$O$999999,6,FALSE),"")</f>
        <v/>
      </c>
      <c r="F262" s="3" t="str">
        <f>IFERROR(VLOOKUP($B262,'Raw Data by WH'!$A$1:$O$999999,7,FALSE),"")</f>
        <v/>
      </c>
      <c r="G262" s="2" t="str">
        <f>IFERROR(VLOOKUP($B262,'Raw Data by WH'!$A$1:$O$999999,8,FALSE),"")</f>
        <v/>
      </c>
      <c r="H262" s="7" t="str">
        <f>IFERROR(VLOOKUP($B262,'Raw Data by WH'!$A$1:$O$999999,9,FALSE),"")</f>
        <v/>
      </c>
      <c r="I262" s="7" t="str">
        <f>IFERROR(VLOOKUP($B262,'Raw Data by WH'!$A$1:$O$999999,10,FALSE),"")</f>
        <v/>
      </c>
    </row>
    <row r="263" spans="1:9" x14ac:dyDescent="0.3">
      <c r="A263">
        <f t="shared" si="8"/>
        <v>254</v>
      </c>
      <c r="B263" t="str">
        <f t="shared" si="9"/>
        <v>1-254</v>
      </c>
      <c r="C263" t="str">
        <f>IFERROR(VLOOKUP($B263,'Raw Data by WH'!$A$1:$O$999999,15,FALSE),"")</f>
        <v/>
      </c>
      <c r="D263" t="str">
        <f>IFERROR(VLOOKUP($B263,'Raw Data by WH'!$A$1:$O$999999,5,FALSE),"")</f>
        <v/>
      </c>
      <c r="E263" t="str">
        <f>IFERROR(VLOOKUP($B263,'Raw Data by WH'!$A$1:$O$999999,6,FALSE),"")</f>
        <v/>
      </c>
      <c r="F263" s="3" t="str">
        <f>IFERROR(VLOOKUP($B263,'Raw Data by WH'!$A$1:$O$999999,7,FALSE),"")</f>
        <v/>
      </c>
      <c r="G263" s="2" t="str">
        <f>IFERROR(VLOOKUP($B263,'Raw Data by WH'!$A$1:$O$999999,8,FALSE),"")</f>
        <v/>
      </c>
      <c r="H263" s="7" t="str">
        <f>IFERROR(VLOOKUP($B263,'Raw Data by WH'!$A$1:$O$999999,9,FALSE),"")</f>
        <v/>
      </c>
      <c r="I263" s="7" t="str">
        <f>IFERROR(VLOOKUP($B263,'Raw Data by WH'!$A$1:$O$999999,10,FALSE),"")</f>
        <v/>
      </c>
    </row>
    <row r="264" spans="1:9" x14ac:dyDescent="0.3">
      <c r="A264">
        <f t="shared" si="8"/>
        <v>255</v>
      </c>
      <c r="B264" t="str">
        <f t="shared" si="9"/>
        <v>1-255</v>
      </c>
      <c r="C264" t="str">
        <f>IFERROR(VLOOKUP($B264,'Raw Data by WH'!$A$1:$O$999999,15,FALSE),"")</f>
        <v/>
      </c>
      <c r="D264" t="str">
        <f>IFERROR(VLOOKUP($B264,'Raw Data by WH'!$A$1:$O$999999,5,FALSE),"")</f>
        <v/>
      </c>
      <c r="E264" t="str">
        <f>IFERROR(VLOOKUP($B264,'Raw Data by WH'!$A$1:$O$999999,6,FALSE),"")</f>
        <v/>
      </c>
      <c r="F264" s="3" t="str">
        <f>IFERROR(VLOOKUP($B264,'Raw Data by WH'!$A$1:$O$999999,7,FALSE),"")</f>
        <v/>
      </c>
      <c r="G264" s="2" t="str">
        <f>IFERROR(VLOOKUP($B264,'Raw Data by WH'!$A$1:$O$999999,8,FALSE),"")</f>
        <v/>
      </c>
      <c r="H264" s="7" t="str">
        <f>IFERROR(VLOOKUP($B264,'Raw Data by WH'!$A$1:$O$999999,9,FALSE),"")</f>
        <v/>
      </c>
      <c r="I264" s="7" t="str">
        <f>IFERROR(VLOOKUP($B264,'Raw Data by WH'!$A$1:$O$999999,10,FALSE),"")</f>
        <v/>
      </c>
    </row>
    <row r="265" spans="1:9" x14ac:dyDescent="0.3">
      <c r="A265">
        <f t="shared" si="8"/>
        <v>256</v>
      </c>
      <c r="B265" t="str">
        <f t="shared" si="9"/>
        <v>1-256</v>
      </c>
      <c r="C265" t="str">
        <f>IFERROR(VLOOKUP($B265,'Raw Data by WH'!$A$1:$O$999999,15,FALSE),"")</f>
        <v/>
      </c>
      <c r="D265" t="str">
        <f>IFERROR(VLOOKUP($B265,'Raw Data by WH'!$A$1:$O$999999,5,FALSE),"")</f>
        <v/>
      </c>
      <c r="E265" t="str">
        <f>IFERROR(VLOOKUP($B265,'Raw Data by WH'!$A$1:$O$999999,6,FALSE),"")</f>
        <v/>
      </c>
      <c r="F265" s="3" t="str">
        <f>IFERROR(VLOOKUP($B265,'Raw Data by WH'!$A$1:$O$999999,7,FALSE),"")</f>
        <v/>
      </c>
      <c r="G265" s="2" t="str">
        <f>IFERROR(VLOOKUP($B265,'Raw Data by WH'!$A$1:$O$999999,8,FALSE),"")</f>
        <v/>
      </c>
      <c r="H265" s="7" t="str">
        <f>IFERROR(VLOOKUP($B265,'Raw Data by WH'!$A$1:$O$999999,9,FALSE),"")</f>
        <v/>
      </c>
      <c r="I265" s="7" t="str">
        <f>IFERROR(VLOOKUP($B265,'Raw Data by WH'!$A$1:$O$999999,10,FALSE),"")</f>
        <v/>
      </c>
    </row>
    <row r="266" spans="1:9" x14ac:dyDescent="0.3">
      <c r="A266">
        <f t="shared" si="8"/>
        <v>257</v>
      </c>
      <c r="B266" t="str">
        <f t="shared" si="9"/>
        <v>1-257</v>
      </c>
      <c r="C266" t="str">
        <f>IFERROR(VLOOKUP($B266,'Raw Data by WH'!$A$1:$O$999999,15,FALSE),"")</f>
        <v/>
      </c>
      <c r="D266" t="str">
        <f>IFERROR(VLOOKUP($B266,'Raw Data by WH'!$A$1:$O$999999,5,FALSE),"")</f>
        <v/>
      </c>
      <c r="E266" t="str">
        <f>IFERROR(VLOOKUP($B266,'Raw Data by WH'!$A$1:$O$999999,6,FALSE),"")</f>
        <v/>
      </c>
      <c r="F266" s="3" t="str">
        <f>IFERROR(VLOOKUP($B266,'Raw Data by WH'!$A$1:$O$999999,7,FALSE),"")</f>
        <v/>
      </c>
      <c r="G266" s="2" t="str">
        <f>IFERROR(VLOOKUP($B266,'Raw Data by WH'!$A$1:$O$999999,8,FALSE),"")</f>
        <v/>
      </c>
      <c r="H266" s="7" t="str">
        <f>IFERROR(VLOOKUP($B266,'Raw Data by WH'!$A$1:$O$999999,9,FALSE),"")</f>
        <v/>
      </c>
      <c r="I266" s="7" t="str">
        <f>IFERROR(VLOOKUP($B266,'Raw Data by WH'!$A$1:$O$999999,10,FALSE),"")</f>
        <v/>
      </c>
    </row>
    <row r="267" spans="1:9" x14ac:dyDescent="0.3">
      <c r="A267">
        <f t="shared" si="8"/>
        <v>258</v>
      </c>
      <c r="B267" t="str">
        <f t="shared" si="9"/>
        <v>1-258</v>
      </c>
      <c r="C267" t="str">
        <f>IFERROR(VLOOKUP($B267,'Raw Data by WH'!$A$1:$O$999999,15,FALSE),"")</f>
        <v/>
      </c>
      <c r="D267" t="str">
        <f>IFERROR(VLOOKUP($B267,'Raw Data by WH'!$A$1:$O$999999,5,FALSE),"")</f>
        <v/>
      </c>
      <c r="E267" t="str">
        <f>IFERROR(VLOOKUP($B267,'Raw Data by WH'!$A$1:$O$999999,6,FALSE),"")</f>
        <v/>
      </c>
      <c r="F267" s="3" t="str">
        <f>IFERROR(VLOOKUP($B267,'Raw Data by WH'!$A$1:$O$999999,7,FALSE),"")</f>
        <v/>
      </c>
      <c r="G267" s="2" t="str">
        <f>IFERROR(VLOOKUP($B267,'Raw Data by WH'!$A$1:$O$999999,8,FALSE),"")</f>
        <v/>
      </c>
      <c r="H267" s="7" t="str">
        <f>IFERROR(VLOOKUP($B267,'Raw Data by WH'!$A$1:$O$999999,9,FALSE),"")</f>
        <v/>
      </c>
      <c r="I267" s="7" t="str">
        <f>IFERROR(VLOOKUP($B267,'Raw Data by WH'!$A$1:$O$999999,10,FALSE),"")</f>
        <v/>
      </c>
    </row>
    <row r="268" spans="1:9" x14ac:dyDescent="0.3">
      <c r="A268">
        <f t="shared" si="8"/>
        <v>259</v>
      </c>
      <c r="B268" t="str">
        <f t="shared" si="9"/>
        <v>1-259</v>
      </c>
      <c r="C268" t="str">
        <f>IFERROR(VLOOKUP($B268,'Raw Data by WH'!$A$1:$O$999999,15,FALSE),"")</f>
        <v/>
      </c>
      <c r="D268" t="str">
        <f>IFERROR(VLOOKUP($B268,'Raw Data by WH'!$A$1:$O$999999,5,FALSE),"")</f>
        <v/>
      </c>
      <c r="E268" t="str">
        <f>IFERROR(VLOOKUP($B268,'Raw Data by WH'!$A$1:$O$999999,6,FALSE),"")</f>
        <v/>
      </c>
      <c r="F268" s="3" t="str">
        <f>IFERROR(VLOOKUP($B268,'Raw Data by WH'!$A$1:$O$999999,7,FALSE),"")</f>
        <v/>
      </c>
      <c r="G268" s="2" t="str">
        <f>IFERROR(VLOOKUP($B268,'Raw Data by WH'!$A$1:$O$999999,8,FALSE),"")</f>
        <v/>
      </c>
      <c r="H268" s="7" t="str">
        <f>IFERROR(VLOOKUP($B268,'Raw Data by WH'!$A$1:$O$999999,9,FALSE),"")</f>
        <v/>
      </c>
      <c r="I268" s="7" t="str">
        <f>IFERROR(VLOOKUP($B268,'Raw Data by WH'!$A$1:$O$999999,10,FALSE),"")</f>
        <v/>
      </c>
    </row>
    <row r="269" spans="1:9" x14ac:dyDescent="0.3">
      <c r="A269">
        <f t="shared" si="8"/>
        <v>260</v>
      </c>
      <c r="B269" t="str">
        <f t="shared" si="9"/>
        <v>1-260</v>
      </c>
      <c r="C269" t="str">
        <f>IFERROR(VLOOKUP($B269,'Raw Data by WH'!$A$1:$O$999999,15,FALSE),"")</f>
        <v/>
      </c>
      <c r="D269" t="str">
        <f>IFERROR(VLOOKUP($B269,'Raw Data by WH'!$A$1:$O$999999,5,FALSE),"")</f>
        <v/>
      </c>
      <c r="E269" t="str">
        <f>IFERROR(VLOOKUP($B269,'Raw Data by WH'!$A$1:$O$999999,6,FALSE),"")</f>
        <v/>
      </c>
      <c r="F269" s="3" t="str">
        <f>IFERROR(VLOOKUP($B269,'Raw Data by WH'!$A$1:$O$999999,7,FALSE),"")</f>
        <v/>
      </c>
      <c r="G269" s="2" t="str">
        <f>IFERROR(VLOOKUP($B269,'Raw Data by WH'!$A$1:$O$999999,8,FALSE),"")</f>
        <v/>
      </c>
      <c r="H269" s="7" t="str">
        <f>IFERROR(VLOOKUP($B269,'Raw Data by WH'!$A$1:$O$999999,9,FALSE),"")</f>
        <v/>
      </c>
      <c r="I269" s="7" t="str">
        <f>IFERROR(VLOOKUP($B269,'Raw Data by WH'!$A$1:$O$999999,10,FALSE),"")</f>
        <v/>
      </c>
    </row>
    <row r="270" spans="1:9" x14ac:dyDescent="0.3">
      <c r="A270">
        <f t="shared" si="8"/>
        <v>261</v>
      </c>
      <c r="B270" t="str">
        <f t="shared" si="9"/>
        <v>1-261</v>
      </c>
      <c r="C270" t="str">
        <f>IFERROR(VLOOKUP($B270,'Raw Data by WH'!$A$1:$O$999999,15,FALSE),"")</f>
        <v/>
      </c>
      <c r="D270" t="str">
        <f>IFERROR(VLOOKUP($B270,'Raw Data by WH'!$A$1:$O$999999,5,FALSE),"")</f>
        <v/>
      </c>
      <c r="E270" t="str">
        <f>IFERROR(VLOOKUP($B270,'Raw Data by WH'!$A$1:$O$999999,6,FALSE),"")</f>
        <v/>
      </c>
      <c r="F270" s="3" t="str">
        <f>IFERROR(VLOOKUP($B270,'Raw Data by WH'!$A$1:$O$999999,7,FALSE),"")</f>
        <v/>
      </c>
      <c r="G270" s="2" t="str">
        <f>IFERROR(VLOOKUP($B270,'Raw Data by WH'!$A$1:$O$999999,8,FALSE),"")</f>
        <v/>
      </c>
      <c r="H270" s="7" t="str">
        <f>IFERROR(VLOOKUP($B270,'Raw Data by WH'!$A$1:$O$999999,9,FALSE),"")</f>
        <v/>
      </c>
      <c r="I270" s="7" t="str">
        <f>IFERROR(VLOOKUP($B270,'Raw Data by WH'!$A$1:$O$999999,10,FALSE),"")</f>
        <v/>
      </c>
    </row>
    <row r="271" spans="1:9" x14ac:dyDescent="0.3">
      <c r="A271">
        <f t="shared" si="8"/>
        <v>262</v>
      </c>
      <c r="B271" t="str">
        <f t="shared" si="9"/>
        <v>1-262</v>
      </c>
      <c r="C271" t="str">
        <f>IFERROR(VLOOKUP($B271,'Raw Data by WH'!$A$1:$O$999999,15,FALSE),"")</f>
        <v/>
      </c>
      <c r="D271" t="str">
        <f>IFERROR(VLOOKUP($B271,'Raw Data by WH'!$A$1:$O$999999,5,FALSE),"")</f>
        <v/>
      </c>
      <c r="E271" t="str">
        <f>IFERROR(VLOOKUP($B271,'Raw Data by WH'!$A$1:$O$999999,6,FALSE),"")</f>
        <v/>
      </c>
      <c r="F271" s="3" t="str">
        <f>IFERROR(VLOOKUP($B271,'Raw Data by WH'!$A$1:$O$999999,7,FALSE),"")</f>
        <v/>
      </c>
      <c r="G271" s="2" t="str">
        <f>IFERROR(VLOOKUP($B271,'Raw Data by WH'!$A$1:$O$999999,8,FALSE),"")</f>
        <v/>
      </c>
      <c r="H271" s="7" t="str">
        <f>IFERROR(VLOOKUP($B271,'Raw Data by WH'!$A$1:$O$999999,9,FALSE),"")</f>
        <v/>
      </c>
      <c r="I271" s="7" t="str">
        <f>IFERROR(VLOOKUP($B271,'Raw Data by WH'!$A$1:$O$999999,10,FALSE),"")</f>
        <v/>
      </c>
    </row>
    <row r="272" spans="1:9" x14ac:dyDescent="0.3">
      <c r="A272">
        <f t="shared" si="8"/>
        <v>263</v>
      </c>
      <c r="B272" t="str">
        <f t="shared" si="9"/>
        <v>1-263</v>
      </c>
      <c r="C272" t="str">
        <f>IFERROR(VLOOKUP($B272,'Raw Data by WH'!$A$1:$O$999999,15,FALSE),"")</f>
        <v/>
      </c>
      <c r="D272" t="str">
        <f>IFERROR(VLOOKUP($B272,'Raw Data by WH'!$A$1:$O$999999,5,FALSE),"")</f>
        <v/>
      </c>
      <c r="E272" t="str">
        <f>IFERROR(VLOOKUP($B272,'Raw Data by WH'!$A$1:$O$999999,6,FALSE),"")</f>
        <v/>
      </c>
      <c r="F272" s="3" t="str">
        <f>IFERROR(VLOOKUP($B272,'Raw Data by WH'!$A$1:$O$999999,7,FALSE),"")</f>
        <v/>
      </c>
      <c r="G272" s="2" t="str">
        <f>IFERROR(VLOOKUP($B272,'Raw Data by WH'!$A$1:$O$999999,8,FALSE),"")</f>
        <v/>
      </c>
      <c r="H272" s="7" t="str">
        <f>IFERROR(VLOOKUP($B272,'Raw Data by WH'!$A$1:$O$999999,9,FALSE),"")</f>
        <v/>
      </c>
      <c r="I272" s="7" t="str">
        <f>IFERROR(VLOOKUP($B272,'Raw Data by WH'!$A$1:$O$999999,10,FALSE),"")</f>
        <v/>
      </c>
    </row>
    <row r="273" spans="1:9" x14ac:dyDescent="0.3">
      <c r="A273">
        <f t="shared" si="8"/>
        <v>264</v>
      </c>
      <c r="B273" t="str">
        <f t="shared" si="9"/>
        <v>1-264</v>
      </c>
      <c r="C273" t="str">
        <f>IFERROR(VLOOKUP($B273,'Raw Data by WH'!$A$1:$O$999999,15,FALSE),"")</f>
        <v/>
      </c>
      <c r="D273" t="str">
        <f>IFERROR(VLOOKUP($B273,'Raw Data by WH'!$A$1:$O$999999,5,FALSE),"")</f>
        <v/>
      </c>
      <c r="E273" t="str">
        <f>IFERROR(VLOOKUP($B273,'Raw Data by WH'!$A$1:$O$999999,6,FALSE),"")</f>
        <v/>
      </c>
      <c r="F273" s="3" t="str">
        <f>IFERROR(VLOOKUP($B273,'Raw Data by WH'!$A$1:$O$999999,7,FALSE),"")</f>
        <v/>
      </c>
      <c r="G273" s="2" t="str">
        <f>IFERROR(VLOOKUP($B273,'Raw Data by WH'!$A$1:$O$999999,8,FALSE),"")</f>
        <v/>
      </c>
      <c r="H273" s="7" t="str">
        <f>IFERROR(VLOOKUP($B273,'Raw Data by WH'!$A$1:$O$999999,9,FALSE),"")</f>
        <v/>
      </c>
      <c r="I273" s="7" t="str">
        <f>IFERROR(VLOOKUP($B273,'Raw Data by WH'!$A$1:$O$999999,10,FALSE),"")</f>
        <v/>
      </c>
    </row>
    <row r="274" spans="1:9" x14ac:dyDescent="0.3">
      <c r="A274">
        <f t="shared" si="8"/>
        <v>265</v>
      </c>
      <c r="B274" t="str">
        <f t="shared" si="9"/>
        <v>1-265</v>
      </c>
      <c r="C274" t="str">
        <f>IFERROR(VLOOKUP($B274,'Raw Data by WH'!$A$1:$O$999999,15,FALSE),"")</f>
        <v/>
      </c>
      <c r="D274" t="str">
        <f>IFERROR(VLOOKUP($B274,'Raw Data by WH'!$A$1:$O$999999,5,FALSE),"")</f>
        <v/>
      </c>
      <c r="E274" t="str">
        <f>IFERROR(VLOOKUP($B274,'Raw Data by WH'!$A$1:$O$999999,6,FALSE),"")</f>
        <v/>
      </c>
      <c r="F274" s="3" t="str">
        <f>IFERROR(VLOOKUP($B274,'Raw Data by WH'!$A$1:$O$999999,7,FALSE),"")</f>
        <v/>
      </c>
      <c r="G274" s="2" t="str">
        <f>IFERROR(VLOOKUP($B274,'Raw Data by WH'!$A$1:$O$999999,8,FALSE),"")</f>
        <v/>
      </c>
      <c r="H274" s="7" t="str">
        <f>IFERROR(VLOOKUP($B274,'Raw Data by WH'!$A$1:$O$999999,9,FALSE),"")</f>
        <v/>
      </c>
      <c r="I274" s="7" t="str">
        <f>IFERROR(VLOOKUP($B274,'Raw Data by WH'!$A$1:$O$999999,10,FALSE),"")</f>
        <v/>
      </c>
    </row>
    <row r="275" spans="1:9" x14ac:dyDescent="0.3">
      <c r="A275">
        <f t="shared" si="8"/>
        <v>266</v>
      </c>
      <c r="B275" t="str">
        <f t="shared" si="9"/>
        <v>1-266</v>
      </c>
      <c r="C275" t="str">
        <f>IFERROR(VLOOKUP($B275,'Raw Data by WH'!$A$1:$O$999999,15,FALSE),"")</f>
        <v/>
      </c>
      <c r="D275" t="str">
        <f>IFERROR(VLOOKUP($B275,'Raw Data by WH'!$A$1:$O$999999,5,FALSE),"")</f>
        <v/>
      </c>
      <c r="E275" t="str">
        <f>IFERROR(VLOOKUP($B275,'Raw Data by WH'!$A$1:$O$999999,6,FALSE),"")</f>
        <v/>
      </c>
      <c r="F275" s="3" t="str">
        <f>IFERROR(VLOOKUP($B275,'Raw Data by WH'!$A$1:$O$999999,7,FALSE),"")</f>
        <v/>
      </c>
      <c r="G275" s="2" t="str">
        <f>IFERROR(VLOOKUP($B275,'Raw Data by WH'!$A$1:$O$999999,8,FALSE),"")</f>
        <v/>
      </c>
      <c r="H275" s="7" t="str">
        <f>IFERROR(VLOOKUP($B275,'Raw Data by WH'!$A$1:$O$999999,9,FALSE),"")</f>
        <v/>
      </c>
      <c r="I275" s="7" t="str">
        <f>IFERROR(VLOOKUP($B275,'Raw Data by WH'!$A$1:$O$999999,10,FALSE),"")</f>
        <v/>
      </c>
    </row>
    <row r="276" spans="1:9" x14ac:dyDescent="0.3">
      <c r="A276">
        <f t="shared" si="8"/>
        <v>267</v>
      </c>
      <c r="B276" t="str">
        <f t="shared" si="9"/>
        <v>1-267</v>
      </c>
      <c r="C276" t="str">
        <f>IFERROR(VLOOKUP($B276,'Raw Data by WH'!$A$1:$O$999999,15,FALSE),"")</f>
        <v/>
      </c>
      <c r="D276" t="str">
        <f>IFERROR(VLOOKUP($B276,'Raw Data by WH'!$A$1:$O$999999,5,FALSE),"")</f>
        <v/>
      </c>
      <c r="E276" t="str">
        <f>IFERROR(VLOOKUP($B276,'Raw Data by WH'!$A$1:$O$999999,6,FALSE),"")</f>
        <v/>
      </c>
      <c r="F276" s="3" t="str">
        <f>IFERROR(VLOOKUP($B276,'Raw Data by WH'!$A$1:$O$999999,7,FALSE),"")</f>
        <v/>
      </c>
      <c r="G276" s="2" t="str">
        <f>IFERROR(VLOOKUP($B276,'Raw Data by WH'!$A$1:$O$999999,8,FALSE),"")</f>
        <v/>
      </c>
      <c r="H276" s="7" t="str">
        <f>IFERROR(VLOOKUP($B276,'Raw Data by WH'!$A$1:$O$999999,9,FALSE),"")</f>
        <v/>
      </c>
      <c r="I276" s="7" t="str">
        <f>IFERROR(VLOOKUP($B276,'Raw Data by WH'!$A$1:$O$999999,10,FALSE),"")</f>
        <v/>
      </c>
    </row>
    <row r="277" spans="1:9" x14ac:dyDescent="0.3">
      <c r="A277">
        <f t="shared" si="8"/>
        <v>268</v>
      </c>
      <c r="B277" t="str">
        <f t="shared" si="9"/>
        <v>1-268</v>
      </c>
      <c r="C277" t="str">
        <f>IFERROR(VLOOKUP($B277,'Raw Data by WH'!$A$1:$O$999999,15,FALSE),"")</f>
        <v/>
      </c>
      <c r="D277" t="str">
        <f>IFERROR(VLOOKUP($B277,'Raw Data by WH'!$A$1:$O$999999,5,FALSE),"")</f>
        <v/>
      </c>
      <c r="E277" t="str">
        <f>IFERROR(VLOOKUP($B277,'Raw Data by WH'!$A$1:$O$999999,6,FALSE),"")</f>
        <v/>
      </c>
      <c r="F277" s="3" t="str">
        <f>IFERROR(VLOOKUP($B277,'Raw Data by WH'!$A$1:$O$999999,7,FALSE),"")</f>
        <v/>
      </c>
      <c r="G277" s="2" t="str">
        <f>IFERROR(VLOOKUP($B277,'Raw Data by WH'!$A$1:$O$999999,8,FALSE),"")</f>
        <v/>
      </c>
      <c r="H277" s="7" t="str">
        <f>IFERROR(VLOOKUP($B277,'Raw Data by WH'!$A$1:$O$999999,9,FALSE),"")</f>
        <v/>
      </c>
      <c r="I277" s="7" t="str">
        <f>IFERROR(VLOOKUP($B277,'Raw Data by WH'!$A$1:$O$999999,10,FALSE),"")</f>
        <v/>
      </c>
    </row>
    <row r="278" spans="1:9" x14ac:dyDescent="0.3">
      <c r="A278">
        <f t="shared" si="8"/>
        <v>269</v>
      </c>
      <c r="B278" t="str">
        <f t="shared" si="9"/>
        <v>1-269</v>
      </c>
      <c r="C278" t="str">
        <f>IFERROR(VLOOKUP($B278,'Raw Data by WH'!$A$1:$O$999999,15,FALSE),"")</f>
        <v/>
      </c>
      <c r="D278" t="str">
        <f>IFERROR(VLOOKUP($B278,'Raw Data by WH'!$A$1:$O$999999,5,FALSE),"")</f>
        <v/>
      </c>
      <c r="E278" t="str">
        <f>IFERROR(VLOOKUP($B278,'Raw Data by WH'!$A$1:$O$999999,6,FALSE),"")</f>
        <v/>
      </c>
      <c r="F278" s="3" t="str">
        <f>IFERROR(VLOOKUP($B278,'Raw Data by WH'!$A$1:$O$999999,7,FALSE),"")</f>
        <v/>
      </c>
      <c r="G278" s="2" t="str">
        <f>IFERROR(VLOOKUP($B278,'Raw Data by WH'!$A$1:$O$999999,8,FALSE),"")</f>
        <v/>
      </c>
      <c r="H278" s="7" t="str">
        <f>IFERROR(VLOOKUP($B278,'Raw Data by WH'!$A$1:$O$999999,9,FALSE),"")</f>
        <v/>
      </c>
      <c r="I278" s="7" t="str">
        <f>IFERROR(VLOOKUP($B278,'Raw Data by WH'!$A$1:$O$999999,10,FALSE),"")</f>
        <v/>
      </c>
    </row>
    <row r="279" spans="1:9" x14ac:dyDescent="0.3">
      <c r="A279">
        <f t="shared" si="8"/>
        <v>270</v>
      </c>
      <c r="B279" t="str">
        <f t="shared" si="9"/>
        <v>1-270</v>
      </c>
      <c r="C279" t="str">
        <f>IFERROR(VLOOKUP($B279,'Raw Data by WH'!$A$1:$O$999999,15,FALSE),"")</f>
        <v/>
      </c>
      <c r="D279" t="str">
        <f>IFERROR(VLOOKUP($B279,'Raw Data by WH'!$A$1:$O$999999,5,FALSE),"")</f>
        <v/>
      </c>
      <c r="E279" t="str">
        <f>IFERROR(VLOOKUP($B279,'Raw Data by WH'!$A$1:$O$999999,6,FALSE),"")</f>
        <v/>
      </c>
      <c r="F279" s="3" t="str">
        <f>IFERROR(VLOOKUP($B279,'Raw Data by WH'!$A$1:$O$999999,7,FALSE),"")</f>
        <v/>
      </c>
      <c r="G279" s="2" t="str">
        <f>IFERROR(VLOOKUP($B279,'Raw Data by WH'!$A$1:$O$999999,8,FALSE),"")</f>
        <v/>
      </c>
      <c r="H279" s="7" t="str">
        <f>IFERROR(VLOOKUP($B279,'Raw Data by WH'!$A$1:$O$999999,9,FALSE),"")</f>
        <v/>
      </c>
      <c r="I279" s="7" t="str">
        <f>IFERROR(VLOOKUP($B279,'Raw Data by WH'!$A$1:$O$999999,10,FALSE),"")</f>
        <v/>
      </c>
    </row>
    <row r="280" spans="1:9" x14ac:dyDescent="0.3">
      <c r="A280">
        <f t="shared" si="8"/>
        <v>271</v>
      </c>
      <c r="B280" t="str">
        <f t="shared" si="9"/>
        <v>1-271</v>
      </c>
      <c r="C280" t="str">
        <f>IFERROR(VLOOKUP($B280,'Raw Data by WH'!$A$1:$O$999999,15,FALSE),"")</f>
        <v/>
      </c>
      <c r="D280" t="str">
        <f>IFERROR(VLOOKUP($B280,'Raw Data by WH'!$A$1:$O$999999,5,FALSE),"")</f>
        <v/>
      </c>
      <c r="E280" t="str">
        <f>IFERROR(VLOOKUP($B280,'Raw Data by WH'!$A$1:$O$999999,6,FALSE),"")</f>
        <v/>
      </c>
      <c r="F280" s="3" t="str">
        <f>IFERROR(VLOOKUP($B280,'Raw Data by WH'!$A$1:$O$999999,7,FALSE),"")</f>
        <v/>
      </c>
      <c r="G280" s="2" t="str">
        <f>IFERROR(VLOOKUP($B280,'Raw Data by WH'!$A$1:$O$999999,8,FALSE),"")</f>
        <v/>
      </c>
      <c r="H280" s="7" t="str">
        <f>IFERROR(VLOOKUP($B280,'Raw Data by WH'!$A$1:$O$999999,9,FALSE),"")</f>
        <v/>
      </c>
      <c r="I280" s="7" t="str">
        <f>IFERROR(VLOOKUP($B280,'Raw Data by WH'!$A$1:$O$999999,10,FALSE),"")</f>
        <v/>
      </c>
    </row>
    <row r="281" spans="1:9" x14ac:dyDescent="0.3">
      <c r="A281">
        <f t="shared" si="8"/>
        <v>272</v>
      </c>
      <c r="B281" t="str">
        <f t="shared" si="9"/>
        <v>1-272</v>
      </c>
      <c r="C281" t="str">
        <f>IFERROR(VLOOKUP($B281,'Raw Data by WH'!$A$1:$O$999999,15,FALSE),"")</f>
        <v/>
      </c>
      <c r="D281" t="str">
        <f>IFERROR(VLOOKUP($B281,'Raw Data by WH'!$A$1:$O$999999,5,FALSE),"")</f>
        <v/>
      </c>
      <c r="E281" t="str">
        <f>IFERROR(VLOOKUP($B281,'Raw Data by WH'!$A$1:$O$999999,6,FALSE),"")</f>
        <v/>
      </c>
      <c r="F281" s="3" t="str">
        <f>IFERROR(VLOOKUP($B281,'Raw Data by WH'!$A$1:$O$999999,7,FALSE),"")</f>
        <v/>
      </c>
      <c r="G281" s="2" t="str">
        <f>IFERROR(VLOOKUP($B281,'Raw Data by WH'!$A$1:$O$999999,8,FALSE),"")</f>
        <v/>
      </c>
      <c r="H281" s="7" t="str">
        <f>IFERROR(VLOOKUP($B281,'Raw Data by WH'!$A$1:$O$999999,9,FALSE),"")</f>
        <v/>
      </c>
      <c r="I281" s="7" t="str">
        <f>IFERROR(VLOOKUP($B281,'Raw Data by WH'!$A$1:$O$999999,10,FALSE),"")</f>
        <v/>
      </c>
    </row>
    <row r="282" spans="1:9" x14ac:dyDescent="0.3">
      <c r="A282">
        <f t="shared" si="8"/>
        <v>273</v>
      </c>
      <c r="B282" t="str">
        <f t="shared" si="9"/>
        <v>1-273</v>
      </c>
      <c r="C282" t="str">
        <f>IFERROR(VLOOKUP($B282,'Raw Data by WH'!$A$1:$O$999999,15,FALSE),"")</f>
        <v/>
      </c>
      <c r="D282" t="str">
        <f>IFERROR(VLOOKUP($B282,'Raw Data by WH'!$A$1:$O$999999,5,FALSE),"")</f>
        <v/>
      </c>
      <c r="E282" t="str">
        <f>IFERROR(VLOOKUP($B282,'Raw Data by WH'!$A$1:$O$999999,6,FALSE),"")</f>
        <v/>
      </c>
      <c r="F282" s="3" t="str">
        <f>IFERROR(VLOOKUP($B282,'Raw Data by WH'!$A$1:$O$999999,7,FALSE),"")</f>
        <v/>
      </c>
      <c r="G282" s="2" t="str">
        <f>IFERROR(VLOOKUP($B282,'Raw Data by WH'!$A$1:$O$999999,8,FALSE),"")</f>
        <v/>
      </c>
      <c r="H282" s="7" t="str">
        <f>IFERROR(VLOOKUP($B282,'Raw Data by WH'!$A$1:$O$999999,9,FALSE),"")</f>
        <v/>
      </c>
      <c r="I282" s="7" t="str">
        <f>IFERROR(VLOOKUP($B282,'Raw Data by WH'!$A$1:$O$999999,10,FALSE),"")</f>
        <v/>
      </c>
    </row>
    <row r="283" spans="1:9" x14ac:dyDescent="0.3">
      <c r="A283">
        <f t="shared" si="8"/>
        <v>274</v>
      </c>
      <c r="B283" t="str">
        <f t="shared" si="9"/>
        <v>1-274</v>
      </c>
      <c r="C283" t="str">
        <f>IFERROR(VLOOKUP($B283,'Raw Data by WH'!$A$1:$O$999999,15,FALSE),"")</f>
        <v/>
      </c>
      <c r="D283" t="str">
        <f>IFERROR(VLOOKUP($B283,'Raw Data by WH'!$A$1:$O$999999,5,FALSE),"")</f>
        <v/>
      </c>
      <c r="E283" t="str">
        <f>IFERROR(VLOOKUP($B283,'Raw Data by WH'!$A$1:$O$999999,6,FALSE),"")</f>
        <v/>
      </c>
      <c r="F283" s="3" t="str">
        <f>IFERROR(VLOOKUP($B283,'Raw Data by WH'!$A$1:$O$999999,7,FALSE),"")</f>
        <v/>
      </c>
      <c r="G283" s="2" t="str">
        <f>IFERROR(VLOOKUP($B283,'Raw Data by WH'!$A$1:$O$999999,8,FALSE),"")</f>
        <v/>
      </c>
      <c r="H283" s="7" t="str">
        <f>IFERROR(VLOOKUP($B283,'Raw Data by WH'!$A$1:$O$999999,9,FALSE),"")</f>
        <v/>
      </c>
      <c r="I283" s="7" t="str">
        <f>IFERROR(VLOOKUP($B283,'Raw Data by WH'!$A$1:$O$999999,10,FALSE),"")</f>
        <v/>
      </c>
    </row>
    <row r="284" spans="1:9" x14ac:dyDescent="0.3">
      <c r="A284">
        <f t="shared" si="8"/>
        <v>275</v>
      </c>
      <c r="B284" t="str">
        <f t="shared" si="9"/>
        <v>1-275</v>
      </c>
      <c r="C284" t="str">
        <f>IFERROR(VLOOKUP($B284,'Raw Data by WH'!$A$1:$O$999999,15,FALSE),"")</f>
        <v/>
      </c>
      <c r="D284" t="str">
        <f>IFERROR(VLOOKUP($B284,'Raw Data by WH'!$A$1:$O$999999,5,FALSE),"")</f>
        <v/>
      </c>
      <c r="E284" t="str">
        <f>IFERROR(VLOOKUP($B284,'Raw Data by WH'!$A$1:$O$999999,6,FALSE),"")</f>
        <v/>
      </c>
      <c r="F284" s="3" t="str">
        <f>IFERROR(VLOOKUP($B284,'Raw Data by WH'!$A$1:$O$999999,7,FALSE),"")</f>
        <v/>
      </c>
      <c r="G284" s="2" t="str">
        <f>IFERROR(VLOOKUP($B284,'Raw Data by WH'!$A$1:$O$999999,8,FALSE),"")</f>
        <v/>
      </c>
      <c r="H284" s="7" t="str">
        <f>IFERROR(VLOOKUP($B284,'Raw Data by WH'!$A$1:$O$999999,9,FALSE),"")</f>
        <v/>
      </c>
      <c r="I284" s="7" t="str">
        <f>IFERROR(VLOOKUP($B284,'Raw Data by WH'!$A$1:$O$999999,10,FALSE),"")</f>
        <v/>
      </c>
    </row>
    <row r="285" spans="1:9" x14ac:dyDescent="0.3">
      <c r="A285">
        <f t="shared" si="8"/>
        <v>276</v>
      </c>
      <c r="B285" t="str">
        <f t="shared" si="9"/>
        <v>1-276</v>
      </c>
      <c r="C285" t="str">
        <f>IFERROR(VLOOKUP($B285,'Raw Data by WH'!$A$1:$O$999999,15,FALSE),"")</f>
        <v/>
      </c>
      <c r="D285" t="str">
        <f>IFERROR(VLOOKUP($B285,'Raw Data by WH'!$A$1:$O$999999,5,FALSE),"")</f>
        <v/>
      </c>
      <c r="E285" t="str">
        <f>IFERROR(VLOOKUP($B285,'Raw Data by WH'!$A$1:$O$999999,6,FALSE),"")</f>
        <v/>
      </c>
      <c r="F285" s="3" t="str">
        <f>IFERROR(VLOOKUP($B285,'Raw Data by WH'!$A$1:$O$999999,7,FALSE),"")</f>
        <v/>
      </c>
      <c r="G285" s="2" t="str">
        <f>IFERROR(VLOOKUP($B285,'Raw Data by WH'!$A$1:$O$999999,8,FALSE),"")</f>
        <v/>
      </c>
      <c r="H285" s="7" t="str">
        <f>IFERROR(VLOOKUP($B285,'Raw Data by WH'!$A$1:$O$999999,9,FALSE),"")</f>
        <v/>
      </c>
      <c r="I285" s="7" t="str">
        <f>IFERROR(VLOOKUP($B285,'Raw Data by WH'!$A$1:$O$999999,10,FALSE),"")</f>
        <v/>
      </c>
    </row>
    <row r="286" spans="1:9" x14ac:dyDescent="0.3">
      <c r="A286">
        <f t="shared" si="8"/>
        <v>277</v>
      </c>
      <c r="B286" t="str">
        <f t="shared" si="9"/>
        <v>1-277</v>
      </c>
      <c r="C286" t="str">
        <f>IFERROR(VLOOKUP($B286,'Raw Data by WH'!$A$1:$O$999999,15,FALSE),"")</f>
        <v/>
      </c>
      <c r="D286" t="str">
        <f>IFERROR(VLOOKUP($B286,'Raw Data by WH'!$A$1:$O$999999,5,FALSE),"")</f>
        <v/>
      </c>
      <c r="E286" t="str">
        <f>IFERROR(VLOOKUP($B286,'Raw Data by WH'!$A$1:$O$999999,6,FALSE),"")</f>
        <v/>
      </c>
      <c r="F286" s="3" t="str">
        <f>IFERROR(VLOOKUP($B286,'Raw Data by WH'!$A$1:$O$999999,7,FALSE),"")</f>
        <v/>
      </c>
      <c r="G286" s="2" t="str">
        <f>IFERROR(VLOOKUP($B286,'Raw Data by WH'!$A$1:$O$999999,8,FALSE),"")</f>
        <v/>
      </c>
      <c r="H286" s="7" t="str">
        <f>IFERROR(VLOOKUP($B286,'Raw Data by WH'!$A$1:$O$999999,9,FALSE),"")</f>
        <v/>
      </c>
      <c r="I286" s="7" t="str">
        <f>IFERROR(VLOOKUP($B286,'Raw Data by WH'!$A$1:$O$999999,10,FALSE),"")</f>
        <v/>
      </c>
    </row>
    <row r="287" spans="1:9" x14ac:dyDescent="0.3">
      <c r="A287">
        <f t="shared" si="8"/>
        <v>278</v>
      </c>
      <c r="B287" t="str">
        <f t="shared" si="9"/>
        <v>1-278</v>
      </c>
      <c r="C287" t="str">
        <f>IFERROR(VLOOKUP($B287,'Raw Data by WH'!$A$1:$O$999999,15,FALSE),"")</f>
        <v/>
      </c>
      <c r="D287" t="str">
        <f>IFERROR(VLOOKUP($B287,'Raw Data by WH'!$A$1:$O$999999,5,FALSE),"")</f>
        <v/>
      </c>
      <c r="E287" t="str">
        <f>IFERROR(VLOOKUP($B287,'Raw Data by WH'!$A$1:$O$999999,6,FALSE),"")</f>
        <v/>
      </c>
      <c r="F287" s="3" t="str">
        <f>IFERROR(VLOOKUP($B287,'Raw Data by WH'!$A$1:$O$999999,7,FALSE),"")</f>
        <v/>
      </c>
      <c r="G287" s="2" t="str">
        <f>IFERROR(VLOOKUP($B287,'Raw Data by WH'!$A$1:$O$999999,8,FALSE),"")</f>
        <v/>
      </c>
      <c r="H287" s="7" t="str">
        <f>IFERROR(VLOOKUP($B287,'Raw Data by WH'!$A$1:$O$999999,9,FALSE),"")</f>
        <v/>
      </c>
      <c r="I287" s="7" t="str">
        <f>IFERROR(VLOOKUP($B287,'Raw Data by WH'!$A$1:$O$999999,10,FALSE),"")</f>
        <v/>
      </c>
    </row>
    <row r="288" spans="1:9" x14ac:dyDescent="0.3">
      <c r="A288">
        <f t="shared" si="8"/>
        <v>279</v>
      </c>
      <c r="B288" t="str">
        <f t="shared" si="9"/>
        <v>1-279</v>
      </c>
      <c r="C288" t="str">
        <f>IFERROR(VLOOKUP($B288,'Raw Data by WH'!$A$1:$O$999999,15,FALSE),"")</f>
        <v/>
      </c>
      <c r="D288" t="str">
        <f>IFERROR(VLOOKUP($B288,'Raw Data by WH'!$A$1:$O$999999,5,FALSE),"")</f>
        <v/>
      </c>
      <c r="E288" t="str">
        <f>IFERROR(VLOOKUP($B288,'Raw Data by WH'!$A$1:$O$999999,6,FALSE),"")</f>
        <v/>
      </c>
      <c r="F288" s="3" t="str">
        <f>IFERROR(VLOOKUP($B288,'Raw Data by WH'!$A$1:$O$999999,7,FALSE),"")</f>
        <v/>
      </c>
      <c r="G288" s="2" t="str">
        <f>IFERROR(VLOOKUP($B288,'Raw Data by WH'!$A$1:$O$999999,8,FALSE),"")</f>
        <v/>
      </c>
      <c r="H288" s="7" t="str">
        <f>IFERROR(VLOOKUP($B288,'Raw Data by WH'!$A$1:$O$999999,9,FALSE),"")</f>
        <v/>
      </c>
      <c r="I288" s="7" t="str">
        <f>IFERROR(VLOOKUP($B288,'Raw Data by WH'!$A$1:$O$999999,10,FALSE),"")</f>
        <v/>
      </c>
    </row>
    <row r="289" spans="1:9" x14ac:dyDescent="0.3">
      <c r="A289">
        <f t="shared" si="8"/>
        <v>280</v>
      </c>
      <c r="B289" t="str">
        <f t="shared" si="9"/>
        <v>1-280</v>
      </c>
      <c r="C289" t="str">
        <f>IFERROR(VLOOKUP($B289,'Raw Data by WH'!$A$1:$O$999999,15,FALSE),"")</f>
        <v/>
      </c>
      <c r="D289" t="str">
        <f>IFERROR(VLOOKUP($B289,'Raw Data by WH'!$A$1:$O$999999,5,FALSE),"")</f>
        <v/>
      </c>
      <c r="E289" t="str">
        <f>IFERROR(VLOOKUP($B289,'Raw Data by WH'!$A$1:$O$999999,6,FALSE),"")</f>
        <v/>
      </c>
      <c r="F289" s="3" t="str">
        <f>IFERROR(VLOOKUP($B289,'Raw Data by WH'!$A$1:$O$999999,7,FALSE),"")</f>
        <v/>
      </c>
      <c r="G289" s="2" t="str">
        <f>IFERROR(VLOOKUP($B289,'Raw Data by WH'!$A$1:$O$999999,8,FALSE),"")</f>
        <v/>
      </c>
      <c r="H289" s="7" t="str">
        <f>IFERROR(VLOOKUP($B289,'Raw Data by WH'!$A$1:$O$999999,9,FALSE),"")</f>
        <v/>
      </c>
      <c r="I289" s="7" t="str">
        <f>IFERROR(VLOOKUP($B289,'Raw Data by WH'!$A$1:$O$999999,10,FALSE),"")</f>
        <v/>
      </c>
    </row>
    <row r="290" spans="1:9" x14ac:dyDescent="0.3">
      <c r="A290">
        <f t="shared" si="8"/>
        <v>281</v>
      </c>
      <c r="B290" t="str">
        <f t="shared" si="9"/>
        <v>1-281</v>
      </c>
      <c r="C290" t="str">
        <f>IFERROR(VLOOKUP($B290,'Raw Data by WH'!$A$1:$O$999999,15,FALSE),"")</f>
        <v/>
      </c>
      <c r="D290" t="str">
        <f>IFERROR(VLOOKUP($B290,'Raw Data by WH'!$A$1:$O$999999,5,FALSE),"")</f>
        <v/>
      </c>
      <c r="E290" t="str">
        <f>IFERROR(VLOOKUP($B290,'Raw Data by WH'!$A$1:$O$999999,6,FALSE),"")</f>
        <v/>
      </c>
      <c r="F290" s="3" t="str">
        <f>IFERROR(VLOOKUP($B290,'Raw Data by WH'!$A$1:$O$999999,7,FALSE),"")</f>
        <v/>
      </c>
      <c r="G290" s="2" t="str">
        <f>IFERROR(VLOOKUP($B290,'Raw Data by WH'!$A$1:$O$999999,8,FALSE),"")</f>
        <v/>
      </c>
      <c r="H290" s="7" t="str">
        <f>IFERROR(VLOOKUP($B290,'Raw Data by WH'!$A$1:$O$999999,9,FALSE),"")</f>
        <v/>
      </c>
      <c r="I290" s="7" t="str">
        <f>IFERROR(VLOOKUP($B290,'Raw Data by WH'!$A$1:$O$999999,10,FALSE),"")</f>
        <v/>
      </c>
    </row>
    <row r="291" spans="1:9" x14ac:dyDescent="0.3">
      <c r="A291">
        <f t="shared" si="8"/>
        <v>282</v>
      </c>
      <c r="B291" t="str">
        <f t="shared" si="9"/>
        <v>1-282</v>
      </c>
      <c r="C291" t="str">
        <f>IFERROR(VLOOKUP($B291,'Raw Data by WH'!$A$1:$O$999999,15,FALSE),"")</f>
        <v/>
      </c>
      <c r="D291" t="str">
        <f>IFERROR(VLOOKUP($B291,'Raw Data by WH'!$A$1:$O$999999,5,FALSE),"")</f>
        <v/>
      </c>
      <c r="E291" t="str">
        <f>IFERROR(VLOOKUP($B291,'Raw Data by WH'!$A$1:$O$999999,6,FALSE),"")</f>
        <v/>
      </c>
      <c r="F291" s="3" t="str">
        <f>IFERROR(VLOOKUP($B291,'Raw Data by WH'!$A$1:$O$999999,7,FALSE),"")</f>
        <v/>
      </c>
      <c r="G291" s="2" t="str">
        <f>IFERROR(VLOOKUP($B291,'Raw Data by WH'!$A$1:$O$999999,8,FALSE),"")</f>
        <v/>
      </c>
      <c r="H291" s="7" t="str">
        <f>IFERROR(VLOOKUP($B291,'Raw Data by WH'!$A$1:$O$999999,9,FALSE),"")</f>
        <v/>
      </c>
      <c r="I291" s="7" t="str">
        <f>IFERROR(VLOOKUP($B291,'Raw Data by WH'!$A$1:$O$999999,10,FALSE),"")</f>
        <v/>
      </c>
    </row>
    <row r="292" spans="1:9" x14ac:dyDescent="0.3">
      <c r="A292">
        <f t="shared" si="8"/>
        <v>283</v>
      </c>
      <c r="B292" t="str">
        <f t="shared" si="9"/>
        <v>1-283</v>
      </c>
      <c r="C292" t="str">
        <f>IFERROR(VLOOKUP($B292,'Raw Data by WH'!$A$1:$O$999999,15,FALSE),"")</f>
        <v/>
      </c>
      <c r="D292" t="str">
        <f>IFERROR(VLOOKUP($B292,'Raw Data by WH'!$A$1:$O$999999,5,FALSE),"")</f>
        <v/>
      </c>
      <c r="E292" t="str">
        <f>IFERROR(VLOOKUP($B292,'Raw Data by WH'!$A$1:$O$999999,6,FALSE),"")</f>
        <v/>
      </c>
      <c r="F292" s="3" t="str">
        <f>IFERROR(VLOOKUP($B292,'Raw Data by WH'!$A$1:$O$999999,7,FALSE),"")</f>
        <v/>
      </c>
      <c r="G292" s="2" t="str">
        <f>IFERROR(VLOOKUP($B292,'Raw Data by WH'!$A$1:$O$999999,8,FALSE),"")</f>
        <v/>
      </c>
      <c r="H292" s="7" t="str">
        <f>IFERROR(VLOOKUP($B292,'Raw Data by WH'!$A$1:$O$999999,9,FALSE),"")</f>
        <v/>
      </c>
      <c r="I292" s="7" t="str">
        <f>IFERROR(VLOOKUP($B292,'Raw Data by WH'!$A$1:$O$999999,10,FALSE),"")</f>
        <v/>
      </c>
    </row>
    <row r="293" spans="1:9" x14ac:dyDescent="0.3">
      <c r="A293">
        <f t="shared" ref="A293:A304" si="10">A292+1</f>
        <v>284</v>
      </c>
      <c r="B293" t="str">
        <f t="shared" si="9"/>
        <v>1-284</v>
      </c>
      <c r="C293" t="str">
        <f>IFERROR(VLOOKUP($B293,'Raw Data by WH'!$A$1:$O$999999,15,FALSE),"")</f>
        <v/>
      </c>
      <c r="D293" t="str">
        <f>IFERROR(VLOOKUP($B293,'Raw Data by WH'!$A$1:$O$999999,5,FALSE),"")</f>
        <v/>
      </c>
      <c r="E293" t="str">
        <f>IFERROR(VLOOKUP($B293,'Raw Data by WH'!$A$1:$O$999999,6,FALSE),"")</f>
        <v/>
      </c>
      <c r="F293" s="3" t="str">
        <f>IFERROR(VLOOKUP($B293,'Raw Data by WH'!$A$1:$O$999999,7,FALSE),"")</f>
        <v/>
      </c>
      <c r="G293" s="2" t="str">
        <f>IFERROR(VLOOKUP($B293,'Raw Data by WH'!$A$1:$O$999999,8,FALSE),"")</f>
        <v/>
      </c>
      <c r="H293" s="7" t="str">
        <f>IFERROR(VLOOKUP($B293,'Raw Data by WH'!$A$1:$O$999999,9,FALSE),"")</f>
        <v/>
      </c>
      <c r="I293" s="7" t="str">
        <f>IFERROR(VLOOKUP($B293,'Raw Data by WH'!$A$1:$O$999999,10,FALSE),"")</f>
        <v/>
      </c>
    </row>
    <row r="294" spans="1:9" x14ac:dyDescent="0.3">
      <c r="A294">
        <f t="shared" si="10"/>
        <v>285</v>
      </c>
      <c r="B294" t="str">
        <f t="shared" si="9"/>
        <v>1-285</v>
      </c>
      <c r="C294" t="str">
        <f>IFERROR(VLOOKUP($B294,'Raw Data by WH'!$A$1:$O$999999,15,FALSE),"")</f>
        <v/>
      </c>
      <c r="D294" t="str">
        <f>IFERROR(VLOOKUP($B294,'Raw Data by WH'!$A$1:$O$999999,5,FALSE),"")</f>
        <v/>
      </c>
      <c r="E294" t="str">
        <f>IFERROR(VLOOKUP($B294,'Raw Data by WH'!$A$1:$O$999999,6,FALSE),"")</f>
        <v/>
      </c>
      <c r="F294" s="3" t="str">
        <f>IFERROR(VLOOKUP($B294,'Raw Data by WH'!$A$1:$O$999999,7,FALSE),"")</f>
        <v/>
      </c>
      <c r="G294" s="2" t="str">
        <f>IFERROR(VLOOKUP($B294,'Raw Data by WH'!$A$1:$O$999999,8,FALSE),"")</f>
        <v/>
      </c>
      <c r="H294" s="7" t="str">
        <f>IFERROR(VLOOKUP($B294,'Raw Data by WH'!$A$1:$O$999999,9,FALSE),"")</f>
        <v/>
      </c>
      <c r="I294" s="7" t="str">
        <f>IFERROR(VLOOKUP($B294,'Raw Data by WH'!$A$1:$O$999999,10,FALSE),"")</f>
        <v/>
      </c>
    </row>
    <row r="295" spans="1:9" x14ac:dyDescent="0.3">
      <c r="A295">
        <f t="shared" si="10"/>
        <v>286</v>
      </c>
      <c r="B295" t="str">
        <f t="shared" si="9"/>
        <v>1-286</v>
      </c>
      <c r="C295" t="str">
        <f>IFERROR(VLOOKUP($B295,'Raw Data by WH'!$A$1:$O$999999,15,FALSE),"")</f>
        <v/>
      </c>
      <c r="D295" t="str">
        <f>IFERROR(VLOOKUP($B295,'Raw Data by WH'!$A$1:$O$999999,5,FALSE),"")</f>
        <v/>
      </c>
      <c r="E295" t="str">
        <f>IFERROR(VLOOKUP($B295,'Raw Data by WH'!$A$1:$O$999999,6,FALSE),"")</f>
        <v/>
      </c>
      <c r="F295" s="3" t="str">
        <f>IFERROR(VLOOKUP($B295,'Raw Data by WH'!$A$1:$O$999999,7,FALSE),"")</f>
        <v/>
      </c>
      <c r="G295" s="2" t="str">
        <f>IFERROR(VLOOKUP($B295,'Raw Data by WH'!$A$1:$O$999999,8,FALSE),"")</f>
        <v/>
      </c>
      <c r="H295" s="7" t="str">
        <f>IFERROR(VLOOKUP($B295,'Raw Data by WH'!$A$1:$O$999999,9,FALSE),"")</f>
        <v/>
      </c>
      <c r="I295" s="7" t="str">
        <f>IFERROR(VLOOKUP($B295,'Raw Data by WH'!$A$1:$O$999999,10,FALSE),"")</f>
        <v/>
      </c>
    </row>
    <row r="296" spans="1:9" x14ac:dyDescent="0.3">
      <c r="A296">
        <f t="shared" si="10"/>
        <v>287</v>
      </c>
      <c r="B296" t="str">
        <f t="shared" si="9"/>
        <v>1-287</v>
      </c>
      <c r="C296" t="str">
        <f>IFERROR(VLOOKUP($B296,'Raw Data by WH'!$A$1:$O$999999,15,FALSE),"")</f>
        <v/>
      </c>
      <c r="D296" t="str">
        <f>IFERROR(VLOOKUP($B296,'Raw Data by WH'!$A$1:$O$999999,5,FALSE),"")</f>
        <v/>
      </c>
      <c r="E296" t="str">
        <f>IFERROR(VLOOKUP($B296,'Raw Data by WH'!$A$1:$O$999999,6,FALSE),"")</f>
        <v/>
      </c>
      <c r="F296" s="3" t="str">
        <f>IFERROR(VLOOKUP($B296,'Raw Data by WH'!$A$1:$O$999999,7,FALSE),"")</f>
        <v/>
      </c>
      <c r="G296" s="2" t="str">
        <f>IFERROR(VLOOKUP($B296,'Raw Data by WH'!$A$1:$O$999999,8,FALSE),"")</f>
        <v/>
      </c>
      <c r="H296" s="7" t="str">
        <f>IFERROR(VLOOKUP($B296,'Raw Data by WH'!$A$1:$O$999999,9,FALSE),"")</f>
        <v/>
      </c>
      <c r="I296" s="7" t="str">
        <f>IFERROR(VLOOKUP($B296,'Raw Data by WH'!$A$1:$O$999999,10,FALSE),"")</f>
        <v/>
      </c>
    </row>
    <row r="297" spans="1:9" x14ac:dyDescent="0.3">
      <c r="A297">
        <f t="shared" si="10"/>
        <v>288</v>
      </c>
      <c r="B297" t="str">
        <f t="shared" si="9"/>
        <v>1-288</v>
      </c>
      <c r="C297" t="str">
        <f>IFERROR(VLOOKUP($B297,'Raw Data by WH'!$A$1:$O$999999,15,FALSE),"")</f>
        <v/>
      </c>
      <c r="D297" t="str">
        <f>IFERROR(VLOOKUP($B297,'Raw Data by WH'!$A$1:$O$999999,5,FALSE),"")</f>
        <v/>
      </c>
      <c r="E297" t="str">
        <f>IFERROR(VLOOKUP($B297,'Raw Data by WH'!$A$1:$O$999999,6,FALSE),"")</f>
        <v/>
      </c>
      <c r="F297" s="3" t="str">
        <f>IFERROR(VLOOKUP($B297,'Raw Data by WH'!$A$1:$O$999999,7,FALSE),"")</f>
        <v/>
      </c>
      <c r="G297" s="2" t="str">
        <f>IFERROR(VLOOKUP($B297,'Raw Data by WH'!$A$1:$O$999999,8,FALSE),"")</f>
        <v/>
      </c>
      <c r="H297" s="7" t="str">
        <f>IFERROR(VLOOKUP($B297,'Raw Data by WH'!$A$1:$O$999999,9,FALSE),"")</f>
        <v/>
      </c>
      <c r="I297" s="7" t="str">
        <f>IFERROR(VLOOKUP($B297,'Raw Data by WH'!$A$1:$O$999999,10,FALSE),"")</f>
        <v/>
      </c>
    </row>
    <row r="298" spans="1:9" x14ac:dyDescent="0.3">
      <c r="A298">
        <f t="shared" si="10"/>
        <v>289</v>
      </c>
      <c r="B298" t="str">
        <f t="shared" si="9"/>
        <v>1-289</v>
      </c>
      <c r="C298" t="str">
        <f>IFERROR(VLOOKUP($B298,'Raw Data by WH'!$A$1:$O$999999,15,FALSE),"")</f>
        <v/>
      </c>
      <c r="D298" t="str">
        <f>IFERROR(VLOOKUP($B298,'Raw Data by WH'!$A$1:$O$999999,5,FALSE),"")</f>
        <v/>
      </c>
      <c r="E298" t="str">
        <f>IFERROR(VLOOKUP($B298,'Raw Data by WH'!$A$1:$O$999999,6,FALSE),"")</f>
        <v/>
      </c>
      <c r="F298" s="3" t="str">
        <f>IFERROR(VLOOKUP($B298,'Raw Data by WH'!$A$1:$O$999999,7,FALSE),"")</f>
        <v/>
      </c>
      <c r="G298" s="2" t="str">
        <f>IFERROR(VLOOKUP($B298,'Raw Data by WH'!$A$1:$O$999999,8,FALSE),"")</f>
        <v/>
      </c>
      <c r="H298" s="7" t="str">
        <f>IFERROR(VLOOKUP($B298,'Raw Data by WH'!$A$1:$O$999999,9,FALSE),"")</f>
        <v/>
      </c>
      <c r="I298" s="7" t="str">
        <f>IFERROR(VLOOKUP($B298,'Raw Data by WH'!$A$1:$O$999999,10,FALSE),"")</f>
        <v/>
      </c>
    </row>
    <row r="299" spans="1:9" x14ac:dyDescent="0.3">
      <c r="A299">
        <f t="shared" si="10"/>
        <v>290</v>
      </c>
      <c r="B299" t="str">
        <f t="shared" si="9"/>
        <v>1-290</v>
      </c>
      <c r="C299" t="str">
        <f>IFERROR(VLOOKUP($B299,'Raw Data by WH'!$A$1:$O$999999,15,FALSE),"")</f>
        <v/>
      </c>
      <c r="D299" t="str">
        <f>IFERROR(VLOOKUP($B299,'Raw Data by WH'!$A$1:$O$999999,5,FALSE),"")</f>
        <v/>
      </c>
      <c r="E299" t="str">
        <f>IFERROR(VLOOKUP($B299,'Raw Data by WH'!$A$1:$O$999999,6,FALSE),"")</f>
        <v/>
      </c>
      <c r="F299" s="3" t="str">
        <f>IFERROR(VLOOKUP($B299,'Raw Data by WH'!$A$1:$O$999999,7,FALSE),"")</f>
        <v/>
      </c>
      <c r="G299" s="2" t="str">
        <f>IFERROR(VLOOKUP($B299,'Raw Data by WH'!$A$1:$O$999999,8,FALSE),"")</f>
        <v/>
      </c>
      <c r="H299" s="7" t="str">
        <f>IFERROR(VLOOKUP($B299,'Raw Data by WH'!$A$1:$O$999999,9,FALSE),"")</f>
        <v/>
      </c>
      <c r="I299" s="7" t="str">
        <f>IFERROR(VLOOKUP($B299,'Raw Data by WH'!$A$1:$O$999999,10,FALSE),"")</f>
        <v/>
      </c>
    </row>
    <row r="300" spans="1:9" x14ac:dyDescent="0.3">
      <c r="A300">
        <f t="shared" si="10"/>
        <v>291</v>
      </c>
      <c r="B300" t="str">
        <f t="shared" si="9"/>
        <v>1-291</v>
      </c>
      <c r="C300" t="str">
        <f>IFERROR(VLOOKUP($B300,'Raw Data by WH'!$A$1:$O$999999,15,FALSE),"")</f>
        <v/>
      </c>
      <c r="D300" t="str">
        <f>IFERROR(VLOOKUP($B300,'Raw Data by WH'!$A$1:$O$999999,5,FALSE),"")</f>
        <v/>
      </c>
      <c r="E300" t="str">
        <f>IFERROR(VLOOKUP($B300,'Raw Data by WH'!$A$1:$O$999999,6,FALSE),"")</f>
        <v/>
      </c>
      <c r="F300" s="3" t="str">
        <f>IFERROR(VLOOKUP($B300,'Raw Data by WH'!$A$1:$O$999999,7,FALSE),"")</f>
        <v/>
      </c>
      <c r="G300" s="2" t="str">
        <f>IFERROR(VLOOKUP($B300,'Raw Data by WH'!$A$1:$O$999999,8,FALSE),"")</f>
        <v/>
      </c>
      <c r="H300" s="7" t="str">
        <f>IFERROR(VLOOKUP($B300,'Raw Data by WH'!$A$1:$O$999999,9,FALSE),"")</f>
        <v/>
      </c>
      <c r="I300" s="7" t="str">
        <f>IFERROR(VLOOKUP($B300,'Raw Data by WH'!$A$1:$O$999999,10,FALSE),"")</f>
        <v/>
      </c>
    </row>
    <row r="301" spans="1:9" x14ac:dyDescent="0.3">
      <c r="A301">
        <f t="shared" si="10"/>
        <v>292</v>
      </c>
      <c r="B301" t="str">
        <f t="shared" si="9"/>
        <v>1-292</v>
      </c>
      <c r="C301" t="str">
        <f>IFERROR(VLOOKUP($B301,'Raw Data by WH'!$A$1:$O$999999,15,FALSE),"")</f>
        <v/>
      </c>
      <c r="D301" t="str">
        <f>IFERROR(VLOOKUP($B301,'Raw Data by WH'!$A$1:$O$999999,5,FALSE),"")</f>
        <v/>
      </c>
      <c r="E301" t="str">
        <f>IFERROR(VLOOKUP($B301,'Raw Data by WH'!$A$1:$O$999999,6,FALSE),"")</f>
        <v/>
      </c>
      <c r="F301" s="3" t="str">
        <f>IFERROR(VLOOKUP($B301,'Raw Data by WH'!$A$1:$O$999999,7,FALSE),"")</f>
        <v/>
      </c>
      <c r="G301" s="2" t="str">
        <f>IFERROR(VLOOKUP($B301,'Raw Data by WH'!$A$1:$O$999999,8,FALSE),"")</f>
        <v/>
      </c>
      <c r="H301" s="7" t="str">
        <f>IFERROR(VLOOKUP($B301,'Raw Data by WH'!$A$1:$O$999999,9,FALSE),"")</f>
        <v/>
      </c>
      <c r="I301" s="7" t="str">
        <f>IFERROR(VLOOKUP($B301,'Raw Data by WH'!$A$1:$O$999999,10,FALSE),"")</f>
        <v/>
      </c>
    </row>
    <row r="302" spans="1:9" x14ac:dyDescent="0.3">
      <c r="A302">
        <f t="shared" si="10"/>
        <v>293</v>
      </c>
      <c r="B302" t="str">
        <f t="shared" si="9"/>
        <v>1-293</v>
      </c>
      <c r="C302" t="str">
        <f>IFERROR(VLOOKUP($B302,'Raw Data by WH'!$A$1:$O$999999,15,FALSE),"")</f>
        <v/>
      </c>
      <c r="D302" t="str">
        <f>IFERROR(VLOOKUP($B302,'Raw Data by WH'!$A$1:$O$999999,5,FALSE),"")</f>
        <v/>
      </c>
      <c r="E302" t="str">
        <f>IFERROR(VLOOKUP($B302,'Raw Data by WH'!$A$1:$O$999999,6,FALSE),"")</f>
        <v/>
      </c>
      <c r="F302" s="3" t="str">
        <f>IFERROR(VLOOKUP($B302,'Raw Data by WH'!$A$1:$O$999999,7,FALSE),"")</f>
        <v/>
      </c>
      <c r="G302" s="2" t="str">
        <f>IFERROR(VLOOKUP($B302,'Raw Data by WH'!$A$1:$O$999999,8,FALSE),"")</f>
        <v/>
      </c>
      <c r="H302" s="7" t="str">
        <f>IFERROR(VLOOKUP($B302,'Raw Data by WH'!$A$1:$O$999999,9,FALSE),"")</f>
        <v/>
      </c>
      <c r="I302" s="7" t="str">
        <f>IFERROR(VLOOKUP($B302,'Raw Data by WH'!$A$1:$O$999999,10,FALSE),"")</f>
        <v/>
      </c>
    </row>
    <row r="303" spans="1:9" x14ac:dyDescent="0.3">
      <c r="A303">
        <f t="shared" si="10"/>
        <v>294</v>
      </c>
      <c r="B303" t="str">
        <f t="shared" si="9"/>
        <v>1-294</v>
      </c>
      <c r="C303" t="str">
        <f>IFERROR(VLOOKUP($B303,'Raw Data by WH'!$A$1:$O$999999,15,FALSE),"")</f>
        <v/>
      </c>
      <c r="D303" t="str">
        <f>IFERROR(VLOOKUP($B303,'Raw Data by WH'!$A$1:$O$999999,5,FALSE),"")</f>
        <v/>
      </c>
      <c r="E303" t="str">
        <f>IFERROR(VLOOKUP($B303,'Raw Data by WH'!$A$1:$O$999999,6,FALSE),"")</f>
        <v/>
      </c>
      <c r="F303" s="3" t="str">
        <f>IFERROR(VLOOKUP($B303,'Raw Data by WH'!$A$1:$O$999999,7,FALSE),"")</f>
        <v/>
      </c>
      <c r="G303" s="2" t="str">
        <f>IFERROR(VLOOKUP($B303,'Raw Data by WH'!$A$1:$O$999999,8,FALSE),"")</f>
        <v/>
      </c>
      <c r="H303" s="7" t="str">
        <f>IFERROR(VLOOKUP($B303,'Raw Data by WH'!$A$1:$O$999999,9,FALSE),"")</f>
        <v/>
      </c>
      <c r="I303" s="7" t="str">
        <f>IFERROR(VLOOKUP($B303,'Raw Data by WH'!$A$1:$O$999999,10,FALSE),"")</f>
        <v/>
      </c>
    </row>
    <row r="304" spans="1:9" x14ac:dyDescent="0.3">
      <c r="A304">
        <f t="shared" si="10"/>
        <v>295</v>
      </c>
      <c r="B304" t="str">
        <f t="shared" si="9"/>
        <v>1-295</v>
      </c>
      <c r="C304" t="str">
        <f>IFERROR(VLOOKUP($B304,'Raw Data by WH'!$A$1:$O$999999,15,FALSE),"")</f>
        <v/>
      </c>
      <c r="D304" t="str">
        <f>IFERROR(VLOOKUP($B304,'Raw Data by WH'!$A$1:$O$999999,5,FALSE),"")</f>
        <v/>
      </c>
      <c r="E304" t="str">
        <f>IFERROR(VLOOKUP($B304,'Raw Data by WH'!$A$1:$O$999999,6,FALSE),"")</f>
        <v/>
      </c>
      <c r="F304" s="3" t="str">
        <f>IFERROR(VLOOKUP($B304,'Raw Data by WH'!$A$1:$O$999999,7,FALSE),"")</f>
        <v/>
      </c>
      <c r="G304" s="2" t="str">
        <f>IFERROR(VLOOKUP($B304,'Raw Data by WH'!$A$1:$O$999999,8,FALSE),"")</f>
        <v/>
      </c>
      <c r="H304" s="7" t="str">
        <f>IFERROR(VLOOKUP($B304,'Raw Data by WH'!$A$1:$O$999999,9,FALSE),"")</f>
        <v/>
      </c>
      <c r="I304" s="7" t="str">
        <f>IFERROR(VLOOKUP($B304,'Raw Data by WH'!$A$1:$O$999999,10,FALSE),"")</f>
        <v/>
      </c>
    </row>
  </sheetData>
  <mergeCells count="3">
    <mergeCell ref="C3:H3"/>
    <mergeCell ref="C8:I8"/>
    <mergeCell ref="E1:H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BE60C9-6D41-494F-87CB-97CDF3B90017}">
          <x14:formula1>
            <xm:f>Lookup!$A$2:$A$15</xm:f>
          </x14:formula1>
          <xm:sqref>D1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AB78F-4996-4993-AC29-DD6D9981860B}">
  <sheetPr codeName="Sheet3"/>
  <dimension ref="A1:O700"/>
  <sheetViews>
    <sheetView workbookViewId="0"/>
  </sheetViews>
  <sheetFormatPr defaultRowHeight="14.4" x14ac:dyDescent="0.3"/>
  <cols>
    <col min="2" max="2" width="21.88671875" bestFit="1" customWidth="1"/>
    <col min="3" max="3" width="5.77734375" bestFit="1" customWidth="1"/>
    <col min="4" max="4" width="9.5546875" bestFit="1" customWidth="1"/>
    <col min="5" max="5" width="13.109375" bestFit="1" customWidth="1"/>
    <col min="6" max="6" width="9.21875" bestFit="1" customWidth="1"/>
    <col min="7" max="7" width="13.5546875" bestFit="1" customWidth="1"/>
    <col min="8" max="8" width="11.21875" bestFit="1" customWidth="1"/>
    <col min="9" max="9" width="12.77734375" bestFit="1" customWidth="1"/>
    <col min="10" max="10" width="14.77734375" bestFit="1" customWidth="1"/>
    <col min="11" max="11" width="18.44140625" bestFit="1" customWidth="1"/>
    <col min="12" max="12" width="19.109375" bestFit="1" customWidth="1"/>
    <col min="13" max="13" width="26.5546875" customWidth="1"/>
    <col min="14" max="14" width="15.44140625" bestFit="1" customWidth="1"/>
    <col min="15" max="15" width="10.77734375" bestFit="1" customWidth="1"/>
  </cols>
  <sheetData>
    <row r="1" spans="1:15" x14ac:dyDescent="0.3">
      <c r="A1" t="s">
        <v>55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12</v>
      </c>
      <c r="H1" t="s">
        <v>69</v>
      </c>
      <c r="I1" t="s">
        <v>13</v>
      </c>
      <c r="J1" t="s">
        <v>4</v>
      </c>
      <c r="K1" t="s">
        <v>14</v>
      </c>
      <c r="L1" t="s">
        <v>15</v>
      </c>
      <c r="M1" t="s">
        <v>16</v>
      </c>
      <c r="N1" t="s">
        <v>17</v>
      </c>
      <c r="O1" t="s">
        <v>222</v>
      </c>
    </row>
    <row r="2" spans="1:15" x14ac:dyDescent="0.3">
      <c r="A2" t="str">
        <f>IF(Query2[[#This Row],[ranking]]=1,Query2[[#This Row],[concatenationcolumn]],IF(Query2[[#This Row],[ranking]]=D1+1,Query2[[#This Row],[concatenationcolumn]],_xlfn.CONCAT(Query2[[#This Row],[wh]],"-",Query2[[#This Row],[Column1]])))</f>
        <v>1-1</v>
      </c>
      <c r="B2" s="1" t="s">
        <v>70</v>
      </c>
      <c r="C2">
        <v>1</v>
      </c>
      <c r="D2">
        <v>1</v>
      </c>
      <c r="E2" s="1" t="s">
        <v>71</v>
      </c>
      <c r="F2" s="1" t="s">
        <v>24</v>
      </c>
      <c r="G2" s="3">
        <v>43992</v>
      </c>
      <c r="H2">
        <v>145408.82999999999</v>
      </c>
      <c r="I2">
        <v>251</v>
      </c>
      <c r="J2">
        <v>7567</v>
      </c>
      <c r="K2">
        <v>0</v>
      </c>
      <c r="L2">
        <v>71775.399999999994</v>
      </c>
      <c r="M2">
        <v>73633.429999999993</v>
      </c>
      <c r="N2">
        <v>71775.400000736336</v>
      </c>
      <c r="O2" s="1">
        <f>IF(Query2[[#This Row],[ranking]]=1,1,O1+1)</f>
        <v>1</v>
      </c>
    </row>
    <row r="3" spans="1:15" x14ac:dyDescent="0.3">
      <c r="A3" t="str">
        <f>IF(Query2[[#This Row],[ranking]]=1,Query2[[#This Row],[concatenationcolumn]],IF(Query2[[#This Row],[ranking]]=D2+1,Query2[[#This Row],[concatenationcolumn]],_xlfn.CONCAT(Query2[[#This Row],[wh]],"-",Query2[[#This Row],[Column1]])))</f>
        <v>1-2</v>
      </c>
      <c r="B3" s="1" t="s">
        <v>72</v>
      </c>
      <c r="C3">
        <v>1</v>
      </c>
      <c r="D3">
        <v>2</v>
      </c>
      <c r="E3" s="1" t="s">
        <v>312</v>
      </c>
      <c r="F3" s="1" t="s">
        <v>313</v>
      </c>
      <c r="G3" s="3">
        <v>43999</v>
      </c>
      <c r="H3">
        <v>115363.2</v>
      </c>
      <c r="I3">
        <v>3</v>
      </c>
      <c r="J3">
        <v>3440</v>
      </c>
      <c r="K3">
        <v>0</v>
      </c>
      <c r="L3">
        <v>63655.199999999997</v>
      </c>
      <c r="M3">
        <v>51708</v>
      </c>
      <c r="N3">
        <v>63655.200000517085</v>
      </c>
      <c r="O3" s="1">
        <f>IF(Query2[[#This Row],[ranking]]=1,1,O2+1)</f>
        <v>2</v>
      </c>
    </row>
    <row r="4" spans="1:15" x14ac:dyDescent="0.3">
      <c r="A4" t="str">
        <f>IF(Query2[[#This Row],[ranking]]=1,Query2[[#This Row],[concatenationcolumn]],IF(Query2[[#This Row],[ranking]]=D3+1,Query2[[#This Row],[concatenationcolumn]],_xlfn.CONCAT(Query2[[#This Row],[wh]],"-",Query2[[#This Row],[Column1]])))</f>
        <v>1-3</v>
      </c>
      <c r="B4" s="1" t="s">
        <v>74</v>
      </c>
      <c r="C4">
        <v>1</v>
      </c>
      <c r="D4">
        <v>3</v>
      </c>
      <c r="E4" s="1" t="s">
        <v>73</v>
      </c>
      <c r="F4" s="1" t="s">
        <v>24</v>
      </c>
      <c r="G4" s="3">
        <v>43992</v>
      </c>
      <c r="H4">
        <v>146969.91</v>
      </c>
      <c r="I4">
        <v>178</v>
      </c>
      <c r="J4">
        <v>5680</v>
      </c>
      <c r="K4">
        <v>0</v>
      </c>
      <c r="L4">
        <v>57041.65</v>
      </c>
      <c r="M4">
        <v>89928.26</v>
      </c>
      <c r="N4">
        <v>57041.650000899281</v>
      </c>
      <c r="O4" s="1">
        <f>IF(Query2[[#This Row],[ranking]]=1,1,O3+1)</f>
        <v>3</v>
      </c>
    </row>
    <row r="5" spans="1:15" x14ac:dyDescent="0.3">
      <c r="A5" t="str">
        <f>IF(Query2[[#This Row],[ranking]]=1,Query2[[#This Row],[concatenationcolumn]],IF(Query2[[#This Row],[ranking]]=D4+1,Query2[[#This Row],[concatenationcolumn]],_xlfn.CONCAT(Query2[[#This Row],[wh]],"-",Query2[[#This Row],[Column1]])))</f>
        <v>1-4</v>
      </c>
      <c r="B5" s="1" t="s">
        <v>76</v>
      </c>
      <c r="C5">
        <v>1</v>
      </c>
      <c r="D5">
        <v>4</v>
      </c>
      <c r="E5" s="1" t="s">
        <v>314</v>
      </c>
      <c r="F5" s="1" t="s">
        <v>24</v>
      </c>
      <c r="G5" s="3">
        <v>43999</v>
      </c>
      <c r="H5">
        <v>74544.12</v>
      </c>
      <c r="I5">
        <v>70</v>
      </c>
      <c r="J5">
        <v>3702</v>
      </c>
      <c r="K5">
        <v>0</v>
      </c>
      <c r="L5">
        <v>41764.730000000003</v>
      </c>
      <c r="M5">
        <v>32779.39</v>
      </c>
      <c r="N5">
        <v>41764.730000327792</v>
      </c>
      <c r="O5" s="1">
        <f>IF(Query2[[#This Row],[ranking]]=1,1,O4+1)</f>
        <v>4</v>
      </c>
    </row>
    <row r="6" spans="1:15" x14ac:dyDescent="0.3">
      <c r="A6" t="str">
        <f>IF(Query2[[#This Row],[ranking]]=1,Query2[[#This Row],[concatenationcolumn]],IF(Query2[[#This Row],[ranking]]=D5+1,Query2[[#This Row],[concatenationcolumn]],_xlfn.CONCAT(Query2[[#This Row],[wh]],"-",Query2[[#This Row],[Column1]])))</f>
        <v>1-5</v>
      </c>
      <c r="B6" s="1" t="s">
        <v>77</v>
      </c>
      <c r="C6">
        <v>1</v>
      </c>
      <c r="D6">
        <v>5</v>
      </c>
      <c r="E6" s="1" t="s">
        <v>75</v>
      </c>
      <c r="F6" s="1" t="s">
        <v>24</v>
      </c>
      <c r="G6" s="3">
        <v>43992</v>
      </c>
      <c r="H6">
        <v>38184.42</v>
      </c>
      <c r="I6">
        <v>78</v>
      </c>
      <c r="J6">
        <v>1999</v>
      </c>
      <c r="K6">
        <v>0</v>
      </c>
      <c r="L6">
        <v>25218.49</v>
      </c>
      <c r="M6">
        <v>12965.93</v>
      </c>
      <c r="N6">
        <v>25218.490000129659</v>
      </c>
      <c r="O6" s="1">
        <f>IF(Query2[[#This Row],[ranking]]=1,1,O5+1)</f>
        <v>5</v>
      </c>
    </row>
    <row r="7" spans="1:15" x14ac:dyDescent="0.3">
      <c r="A7" t="str">
        <f>IF(Query2[[#This Row],[ranking]]=1,Query2[[#This Row],[concatenationcolumn]],IF(Query2[[#This Row],[ranking]]=D6+1,Query2[[#This Row],[concatenationcolumn]],_xlfn.CONCAT(Query2[[#This Row],[wh]],"-",Query2[[#This Row],[Column1]])))</f>
        <v>1-6</v>
      </c>
      <c r="B7" s="1" t="s">
        <v>78</v>
      </c>
      <c r="C7">
        <v>1</v>
      </c>
      <c r="D7">
        <v>6</v>
      </c>
      <c r="E7" s="1" t="s">
        <v>223</v>
      </c>
      <c r="F7" s="1" t="s">
        <v>156</v>
      </c>
      <c r="G7" s="3">
        <v>43994</v>
      </c>
      <c r="H7">
        <v>61572.62</v>
      </c>
      <c r="I7">
        <v>65</v>
      </c>
      <c r="J7">
        <v>2110</v>
      </c>
      <c r="K7">
        <v>0</v>
      </c>
      <c r="L7">
        <v>20053.080000000002</v>
      </c>
      <c r="M7">
        <v>41519.54</v>
      </c>
      <c r="N7">
        <v>20053.080000415197</v>
      </c>
      <c r="O7" s="1">
        <f>IF(Query2[[#This Row],[ranking]]=1,1,O6+1)</f>
        <v>6</v>
      </c>
    </row>
    <row r="8" spans="1:15" x14ac:dyDescent="0.3">
      <c r="A8" t="str">
        <f>IF(Query2[[#This Row],[ranking]]=1,Query2[[#This Row],[concatenationcolumn]],IF(Query2[[#This Row],[ranking]]=D7+1,Query2[[#This Row],[concatenationcolumn]],_xlfn.CONCAT(Query2[[#This Row],[wh]],"-",Query2[[#This Row],[Column1]])))</f>
        <v>1-7</v>
      </c>
      <c r="B8" s="1" t="s">
        <v>79</v>
      </c>
      <c r="C8">
        <v>1</v>
      </c>
      <c r="D8">
        <v>7</v>
      </c>
      <c r="E8" s="1" t="s">
        <v>269</v>
      </c>
      <c r="F8" s="1" t="s">
        <v>18</v>
      </c>
      <c r="G8" s="3">
        <v>43998</v>
      </c>
      <c r="H8">
        <v>53332.58</v>
      </c>
      <c r="I8">
        <v>35</v>
      </c>
      <c r="J8">
        <v>5434</v>
      </c>
      <c r="K8">
        <v>0</v>
      </c>
      <c r="L8">
        <v>14087.36</v>
      </c>
      <c r="M8">
        <v>39245.22</v>
      </c>
      <c r="N8">
        <v>14087.360000392453</v>
      </c>
      <c r="O8" s="1">
        <f>IF(Query2[[#This Row],[ranking]]=1,1,O7+1)</f>
        <v>7</v>
      </c>
    </row>
    <row r="9" spans="1:15" x14ac:dyDescent="0.3">
      <c r="A9" t="str">
        <f>IF(Query2[[#This Row],[ranking]]=1,Query2[[#This Row],[concatenationcolumn]],IF(Query2[[#This Row],[ranking]]=D8+1,Query2[[#This Row],[concatenationcolumn]],_xlfn.CONCAT(Query2[[#This Row],[wh]],"-",Query2[[#This Row],[Column1]])))</f>
        <v>1-8</v>
      </c>
      <c r="B9" s="1" t="s">
        <v>80</v>
      </c>
      <c r="C9">
        <v>1</v>
      </c>
      <c r="D9">
        <v>8</v>
      </c>
      <c r="E9" s="1" t="s">
        <v>82</v>
      </c>
      <c r="F9" s="1" t="s">
        <v>24</v>
      </c>
      <c r="G9" s="3">
        <v>43992</v>
      </c>
      <c r="H9">
        <v>23313.21</v>
      </c>
      <c r="I9">
        <v>46</v>
      </c>
      <c r="J9">
        <v>1078</v>
      </c>
      <c r="K9">
        <v>0</v>
      </c>
      <c r="L9">
        <v>12184.07</v>
      </c>
      <c r="M9">
        <v>11129.14</v>
      </c>
      <c r="N9">
        <v>12184.070000111291</v>
      </c>
      <c r="O9" s="1">
        <f>IF(Query2[[#This Row],[ranking]]=1,1,O8+1)</f>
        <v>8</v>
      </c>
    </row>
    <row r="10" spans="1:15" x14ac:dyDescent="0.3">
      <c r="A10" t="str">
        <f>IF(Query2[[#This Row],[ranking]]=1,Query2[[#This Row],[concatenationcolumn]],IF(Query2[[#This Row],[ranking]]=D9+1,Query2[[#This Row],[concatenationcolumn]],_xlfn.CONCAT(Query2[[#This Row],[wh]],"-",Query2[[#This Row],[Column1]])))</f>
        <v>1-9</v>
      </c>
      <c r="B10" s="1" t="s">
        <v>81</v>
      </c>
      <c r="C10">
        <v>1</v>
      </c>
      <c r="D10">
        <v>9</v>
      </c>
      <c r="E10" s="1" t="s">
        <v>270</v>
      </c>
      <c r="F10" s="1" t="s">
        <v>39</v>
      </c>
      <c r="G10" s="3">
        <v>43998</v>
      </c>
      <c r="H10">
        <v>21970.68</v>
      </c>
      <c r="I10">
        <v>35</v>
      </c>
      <c r="J10">
        <v>1176</v>
      </c>
      <c r="K10">
        <v>0</v>
      </c>
      <c r="L10">
        <v>12021.44</v>
      </c>
      <c r="M10">
        <v>9949.24</v>
      </c>
      <c r="N10">
        <v>12021.440000099492</v>
      </c>
      <c r="O10" s="1">
        <f>IF(Query2[[#This Row],[ranking]]=1,1,O9+1)</f>
        <v>9</v>
      </c>
    </row>
    <row r="11" spans="1:15" x14ac:dyDescent="0.3">
      <c r="A11" t="str">
        <f>IF(Query2[[#This Row],[ranking]]=1,Query2[[#This Row],[concatenationcolumn]],IF(Query2[[#This Row],[ranking]]=D10+1,Query2[[#This Row],[concatenationcolumn]],_xlfn.CONCAT(Query2[[#This Row],[wh]],"-",Query2[[#This Row],[Column1]])))</f>
        <v>1-10</v>
      </c>
      <c r="B11" s="1" t="s">
        <v>83</v>
      </c>
      <c r="C11">
        <v>1</v>
      </c>
      <c r="D11">
        <v>10</v>
      </c>
      <c r="E11" s="1" t="s">
        <v>19</v>
      </c>
      <c r="F11" s="1" t="s">
        <v>20</v>
      </c>
      <c r="G11" s="3">
        <v>43990</v>
      </c>
      <c r="H11">
        <v>19103.68</v>
      </c>
      <c r="I11">
        <v>17</v>
      </c>
      <c r="J11">
        <v>564</v>
      </c>
      <c r="K11">
        <v>0</v>
      </c>
      <c r="L11">
        <v>11933.16</v>
      </c>
      <c r="M11">
        <v>7170.52</v>
      </c>
      <c r="N11">
        <v>11933.160000071706</v>
      </c>
      <c r="O11" s="1">
        <f>IF(Query2[[#This Row],[ranking]]=1,1,O10+1)</f>
        <v>10</v>
      </c>
    </row>
    <row r="12" spans="1:15" x14ac:dyDescent="0.3">
      <c r="A12" t="str">
        <f>IF(Query2[[#This Row],[ranking]]=1,Query2[[#This Row],[concatenationcolumn]],IF(Query2[[#This Row],[ranking]]=D11+1,Query2[[#This Row],[concatenationcolumn]],_xlfn.CONCAT(Query2[[#This Row],[wh]],"-",Query2[[#This Row],[Column1]])))</f>
        <v>1-11</v>
      </c>
      <c r="B12" s="1" t="s">
        <v>85</v>
      </c>
      <c r="C12">
        <v>1</v>
      </c>
      <c r="D12">
        <v>11</v>
      </c>
      <c r="E12" s="1" t="s">
        <v>101</v>
      </c>
      <c r="F12" s="1" t="s">
        <v>25</v>
      </c>
      <c r="G12" s="3">
        <v>43998</v>
      </c>
      <c r="H12">
        <v>82835.23</v>
      </c>
      <c r="I12">
        <v>100</v>
      </c>
      <c r="J12">
        <v>2558</v>
      </c>
      <c r="K12">
        <v>0</v>
      </c>
      <c r="L12">
        <v>11844.53</v>
      </c>
      <c r="M12">
        <v>70990.7</v>
      </c>
      <c r="N12">
        <v>11844.530000709907</v>
      </c>
      <c r="O12" s="1">
        <f>IF(Query2[[#This Row],[ranking]]=1,1,O11+1)</f>
        <v>11</v>
      </c>
    </row>
    <row r="13" spans="1:15" x14ac:dyDescent="0.3">
      <c r="A13" t="str">
        <f>IF(Query2[[#This Row],[ranking]]=1,Query2[[#This Row],[concatenationcolumn]],IF(Query2[[#This Row],[ranking]]=D12+1,Query2[[#This Row],[concatenationcolumn]],_xlfn.CONCAT(Query2[[#This Row],[wh]],"-",Query2[[#This Row],[Column1]])))</f>
        <v>1-12</v>
      </c>
      <c r="B13" s="1" t="s">
        <v>87</v>
      </c>
      <c r="C13">
        <v>1</v>
      </c>
      <c r="D13">
        <v>12</v>
      </c>
      <c r="E13" s="1" t="s">
        <v>315</v>
      </c>
      <c r="F13" s="1" t="s">
        <v>148</v>
      </c>
      <c r="G13" s="3">
        <v>43999</v>
      </c>
      <c r="H13">
        <v>46724</v>
      </c>
      <c r="I13">
        <v>17</v>
      </c>
      <c r="J13">
        <v>6520</v>
      </c>
      <c r="K13">
        <v>0</v>
      </c>
      <c r="L13">
        <v>10875.8</v>
      </c>
      <c r="M13">
        <v>35848.199999999997</v>
      </c>
      <c r="N13">
        <v>10875.800000358482</v>
      </c>
      <c r="O13" s="1">
        <f>IF(Query2[[#This Row],[ranking]]=1,1,O12+1)</f>
        <v>12</v>
      </c>
    </row>
    <row r="14" spans="1:15" x14ac:dyDescent="0.3">
      <c r="A14" t="str">
        <f>IF(Query2[[#This Row],[ranking]]=1,Query2[[#This Row],[concatenationcolumn]],IF(Query2[[#This Row],[ranking]]=D13+1,Query2[[#This Row],[concatenationcolumn]],_xlfn.CONCAT(Query2[[#This Row],[wh]],"-",Query2[[#This Row],[Column1]])))</f>
        <v>1-13</v>
      </c>
      <c r="B14" s="1" t="s">
        <v>89</v>
      </c>
      <c r="C14">
        <v>1</v>
      </c>
      <c r="D14">
        <v>13</v>
      </c>
      <c r="E14" s="1" t="s">
        <v>316</v>
      </c>
      <c r="F14" s="1" t="s">
        <v>24</v>
      </c>
      <c r="G14" s="3">
        <v>43999</v>
      </c>
      <c r="H14">
        <v>20137.82</v>
      </c>
      <c r="I14">
        <v>41</v>
      </c>
      <c r="J14">
        <v>777</v>
      </c>
      <c r="K14">
        <v>0</v>
      </c>
      <c r="L14">
        <v>10734.77</v>
      </c>
      <c r="M14">
        <v>9403.0499999999993</v>
      </c>
      <c r="N14">
        <v>10734.770000094031</v>
      </c>
      <c r="O14" s="1">
        <f>IF(Query2[[#This Row],[ranking]]=1,1,O13+1)</f>
        <v>13</v>
      </c>
    </row>
    <row r="15" spans="1:15" x14ac:dyDescent="0.3">
      <c r="A15" t="str">
        <f>IF(Query2[[#This Row],[ranking]]=1,Query2[[#This Row],[concatenationcolumn]],IF(Query2[[#This Row],[ranking]]=D14+1,Query2[[#This Row],[concatenationcolumn]],_xlfn.CONCAT(Query2[[#This Row],[wh]],"-",Query2[[#This Row],[Column1]])))</f>
        <v>1-14</v>
      </c>
      <c r="B15" s="1" t="s">
        <v>90</v>
      </c>
      <c r="C15">
        <v>1</v>
      </c>
      <c r="D15">
        <v>14</v>
      </c>
      <c r="E15" s="1" t="s">
        <v>271</v>
      </c>
      <c r="F15" s="1" t="s">
        <v>18</v>
      </c>
      <c r="G15" s="3">
        <v>43998</v>
      </c>
      <c r="H15">
        <v>19196.7</v>
      </c>
      <c r="I15">
        <v>54</v>
      </c>
      <c r="J15">
        <v>1334</v>
      </c>
      <c r="K15">
        <v>0</v>
      </c>
      <c r="L15">
        <v>9421.48</v>
      </c>
      <c r="M15">
        <v>9775.2199999999993</v>
      </c>
      <c r="N15">
        <v>9421.4800000977521</v>
      </c>
      <c r="O15" s="1">
        <f>IF(Query2[[#This Row],[ranking]]=1,1,O14+1)</f>
        <v>14</v>
      </c>
    </row>
    <row r="16" spans="1:15" x14ac:dyDescent="0.3">
      <c r="A16" t="str">
        <f>IF(Query2[[#This Row],[ranking]]=1,Query2[[#This Row],[concatenationcolumn]],IF(Query2[[#This Row],[ranking]]=D15+1,Query2[[#This Row],[concatenationcolumn]],_xlfn.CONCAT(Query2[[#This Row],[wh]],"-",Query2[[#This Row],[Column1]])))</f>
        <v>1-15</v>
      </c>
      <c r="B16" s="1" t="s">
        <v>91</v>
      </c>
      <c r="C16">
        <v>1</v>
      </c>
      <c r="D16">
        <v>15</v>
      </c>
      <c r="E16" s="1" t="s">
        <v>86</v>
      </c>
      <c r="F16" s="1" t="s">
        <v>48</v>
      </c>
      <c r="G16" s="3">
        <v>43993</v>
      </c>
      <c r="H16">
        <v>9279.3799999999992</v>
      </c>
      <c r="I16">
        <v>3</v>
      </c>
      <c r="J16">
        <v>196</v>
      </c>
      <c r="K16">
        <v>0</v>
      </c>
      <c r="L16">
        <v>9247.24</v>
      </c>
      <c r="M16">
        <v>32.14</v>
      </c>
      <c r="N16">
        <v>9247.2400000003217</v>
      </c>
      <c r="O16" s="1">
        <f>IF(Query2[[#This Row],[ranking]]=1,1,O15+1)</f>
        <v>15</v>
      </c>
    </row>
    <row r="17" spans="1:15" x14ac:dyDescent="0.3">
      <c r="A17" t="str">
        <f>IF(Query2[[#This Row],[ranking]]=1,Query2[[#This Row],[concatenationcolumn]],IF(Query2[[#This Row],[ranking]]=D16+1,Query2[[#This Row],[concatenationcolumn]],_xlfn.CONCAT(Query2[[#This Row],[wh]],"-",Query2[[#This Row],[Column1]])))</f>
        <v>1-16</v>
      </c>
      <c r="B17" s="1" t="s">
        <v>92</v>
      </c>
      <c r="C17">
        <v>1</v>
      </c>
      <c r="D17">
        <v>16</v>
      </c>
      <c r="E17" s="1" t="s">
        <v>88</v>
      </c>
      <c r="F17" s="1" t="s">
        <v>24</v>
      </c>
      <c r="G17" s="3">
        <v>43992</v>
      </c>
      <c r="H17">
        <v>16799.82</v>
      </c>
      <c r="I17">
        <v>20</v>
      </c>
      <c r="J17">
        <v>421</v>
      </c>
      <c r="K17">
        <v>0</v>
      </c>
      <c r="L17">
        <v>9227.66</v>
      </c>
      <c r="M17">
        <v>7572.16</v>
      </c>
      <c r="N17">
        <v>9227.6600000757207</v>
      </c>
      <c r="O17" s="1">
        <f>IF(Query2[[#This Row],[ranking]]=1,1,O16+1)</f>
        <v>16</v>
      </c>
    </row>
    <row r="18" spans="1:15" x14ac:dyDescent="0.3">
      <c r="A18" t="str">
        <f>IF(Query2[[#This Row],[ranking]]=1,Query2[[#This Row],[concatenationcolumn]],IF(Query2[[#This Row],[ranking]]=D17+1,Query2[[#This Row],[concatenationcolumn]],_xlfn.CONCAT(Query2[[#This Row],[wh]],"-",Query2[[#This Row],[Column1]])))</f>
        <v>1-17</v>
      </c>
      <c r="B18" s="1" t="s">
        <v>93</v>
      </c>
      <c r="C18">
        <v>1</v>
      </c>
      <c r="D18">
        <v>17</v>
      </c>
      <c r="E18" s="1" t="s">
        <v>84</v>
      </c>
      <c r="F18" s="1" t="s">
        <v>24</v>
      </c>
      <c r="G18" s="3">
        <v>43992</v>
      </c>
      <c r="H18">
        <v>19570.73</v>
      </c>
      <c r="I18">
        <v>10</v>
      </c>
      <c r="J18">
        <v>1027</v>
      </c>
      <c r="K18">
        <v>0</v>
      </c>
      <c r="L18">
        <v>8699.52</v>
      </c>
      <c r="M18">
        <v>10871.21</v>
      </c>
      <c r="N18">
        <v>8699.5200001087123</v>
      </c>
      <c r="O18" s="1">
        <f>IF(Query2[[#This Row],[ranking]]=1,1,O17+1)</f>
        <v>17</v>
      </c>
    </row>
    <row r="19" spans="1:15" x14ac:dyDescent="0.3">
      <c r="A19" t="str">
        <f>IF(Query2[[#This Row],[ranking]]=1,Query2[[#This Row],[concatenationcolumn]],IF(Query2[[#This Row],[ranking]]=D18+1,Query2[[#This Row],[concatenationcolumn]],_xlfn.CONCAT(Query2[[#This Row],[wh]],"-",Query2[[#This Row],[Column1]])))</f>
        <v>1-18</v>
      </c>
      <c r="B19" s="1" t="s">
        <v>95</v>
      </c>
      <c r="C19">
        <v>1</v>
      </c>
      <c r="D19">
        <v>18</v>
      </c>
      <c r="E19" s="1" t="s">
        <v>224</v>
      </c>
      <c r="F19" s="1" t="s">
        <v>32</v>
      </c>
      <c r="G19" s="3">
        <v>43997</v>
      </c>
      <c r="H19">
        <v>30004.55</v>
      </c>
      <c r="I19">
        <v>66</v>
      </c>
      <c r="J19">
        <v>635</v>
      </c>
      <c r="K19">
        <v>0</v>
      </c>
      <c r="L19">
        <v>6935.95</v>
      </c>
      <c r="M19">
        <v>23068.6</v>
      </c>
      <c r="N19">
        <v>6935.9500002306868</v>
      </c>
      <c r="O19" s="1">
        <f>IF(Query2[[#This Row],[ranking]]=1,1,O18+1)</f>
        <v>18</v>
      </c>
    </row>
    <row r="20" spans="1:15" x14ac:dyDescent="0.3">
      <c r="A20" t="str">
        <f>IF(Query2[[#This Row],[ranking]]=1,Query2[[#This Row],[concatenationcolumn]],IF(Query2[[#This Row],[ranking]]=D19+1,Query2[[#This Row],[concatenationcolumn]],_xlfn.CONCAT(Query2[[#This Row],[wh]],"-",Query2[[#This Row],[Column1]])))</f>
        <v>1-19</v>
      </c>
      <c r="B20" s="1" t="s">
        <v>96</v>
      </c>
      <c r="C20">
        <v>1</v>
      </c>
      <c r="D20">
        <v>19</v>
      </c>
      <c r="E20" s="1" t="s">
        <v>225</v>
      </c>
      <c r="F20" s="1" t="s">
        <v>21</v>
      </c>
      <c r="G20" s="3">
        <v>43997</v>
      </c>
      <c r="H20">
        <v>13645.95</v>
      </c>
      <c r="I20">
        <v>35</v>
      </c>
      <c r="J20">
        <v>761</v>
      </c>
      <c r="K20">
        <v>1729.44</v>
      </c>
      <c r="L20">
        <v>4754</v>
      </c>
      <c r="M20">
        <v>7162.51</v>
      </c>
      <c r="N20">
        <v>5618.7200000716248</v>
      </c>
      <c r="O20" s="1">
        <f>IF(Query2[[#This Row],[ranking]]=1,1,O19+1)</f>
        <v>19</v>
      </c>
    </row>
    <row r="21" spans="1:15" x14ac:dyDescent="0.3">
      <c r="A21" t="str">
        <f>IF(Query2[[#This Row],[ranking]]=1,Query2[[#This Row],[concatenationcolumn]],IF(Query2[[#This Row],[ranking]]=D20+1,Query2[[#This Row],[concatenationcolumn]],_xlfn.CONCAT(Query2[[#This Row],[wh]],"-",Query2[[#This Row],[Column1]])))</f>
        <v>1-20</v>
      </c>
      <c r="B21" s="1" t="s">
        <v>97</v>
      </c>
      <c r="C21">
        <v>1</v>
      </c>
      <c r="D21">
        <v>20</v>
      </c>
      <c r="E21" s="1" t="s">
        <v>368</v>
      </c>
      <c r="F21" s="1" t="s">
        <v>148</v>
      </c>
      <c r="G21" s="3">
        <v>44000</v>
      </c>
      <c r="H21">
        <v>5235.3999999999996</v>
      </c>
      <c r="I21">
        <v>7</v>
      </c>
      <c r="J21">
        <v>760</v>
      </c>
      <c r="K21">
        <v>0</v>
      </c>
      <c r="L21">
        <v>5235.3999999999996</v>
      </c>
      <c r="M21">
        <v>0</v>
      </c>
      <c r="N21">
        <v>5235.3999999999996</v>
      </c>
      <c r="O21" s="1">
        <f>IF(Query2[[#This Row],[ranking]]=1,1,O20+1)</f>
        <v>20</v>
      </c>
    </row>
    <row r="22" spans="1:15" x14ac:dyDescent="0.3">
      <c r="A22" t="str">
        <f>IF(Query2[[#This Row],[ranking]]=1,Query2[[#This Row],[concatenationcolumn]],IF(Query2[[#This Row],[ranking]]=D21+1,Query2[[#This Row],[concatenationcolumn]],_xlfn.CONCAT(Query2[[#This Row],[wh]],"-",Query2[[#This Row],[Column1]])))</f>
        <v>1-21</v>
      </c>
      <c r="B22" s="1" t="s">
        <v>98</v>
      </c>
      <c r="C22">
        <v>1</v>
      </c>
      <c r="D22">
        <v>21</v>
      </c>
      <c r="E22" s="1" t="s">
        <v>94</v>
      </c>
      <c r="F22" s="1" t="s">
        <v>24</v>
      </c>
      <c r="G22" s="3">
        <v>43992</v>
      </c>
      <c r="H22">
        <v>5971.76</v>
      </c>
      <c r="I22">
        <v>22</v>
      </c>
      <c r="J22">
        <v>340</v>
      </c>
      <c r="K22">
        <v>0</v>
      </c>
      <c r="L22">
        <v>5234.71</v>
      </c>
      <c r="M22">
        <v>737.05</v>
      </c>
      <c r="N22">
        <v>5234.7100000073706</v>
      </c>
      <c r="O22" s="1">
        <f>IF(Query2[[#This Row],[ranking]]=1,1,O21+1)</f>
        <v>21</v>
      </c>
    </row>
    <row r="23" spans="1:15" x14ac:dyDescent="0.3">
      <c r="A23" t="str">
        <f>IF(Query2[[#This Row],[ranking]]=1,Query2[[#This Row],[concatenationcolumn]],IF(Query2[[#This Row],[ranking]]=D22+1,Query2[[#This Row],[concatenationcolumn]],_xlfn.CONCAT(Query2[[#This Row],[wh]],"-",Query2[[#This Row],[Column1]])))</f>
        <v>1-22</v>
      </c>
      <c r="B23" s="1" t="s">
        <v>99</v>
      </c>
      <c r="C23">
        <v>1</v>
      </c>
      <c r="D23">
        <v>22</v>
      </c>
      <c r="E23" s="1" t="s">
        <v>369</v>
      </c>
      <c r="F23" s="1" t="s">
        <v>156</v>
      </c>
      <c r="G23" s="3">
        <v>44000</v>
      </c>
      <c r="H23">
        <v>17070.3</v>
      </c>
      <c r="I23">
        <v>25</v>
      </c>
      <c r="J23">
        <v>520</v>
      </c>
      <c r="K23">
        <v>316.16000000000003</v>
      </c>
      <c r="L23">
        <v>4760.24</v>
      </c>
      <c r="M23">
        <v>11993.9</v>
      </c>
      <c r="N23">
        <v>4918.3200001199393</v>
      </c>
      <c r="O23" s="1">
        <f>IF(Query2[[#This Row],[ranking]]=1,1,O22+1)</f>
        <v>22</v>
      </c>
    </row>
    <row r="24" spans="1:15" x14ac:dyDescent="0.3">
      <c r="A24" t="str">
        <f>IF(Query2[[#This Row],[ranking]]=1,Query2[[#This Row],[concatenationcolumn]],IF(Query2[[#This Row],[ranking]]=D23+1,Query2[[#This Row],[concatenationcolumn]],_xlfn.CONCAT(Query2[[#This Row],[wh]],"-",Query2[[#This Row],[Column1]])))</f>
        <v>1-23</v>
      </c>
      <c r="B24" s="1" t="s">
        <v>100</v>
      </c>
      <c r="C24">
        <v>1</v>
      </c>
      <c r="D24">
        <v>23</v>
      </c>
      <c r="E24" s="1" t="s">
        <v>370</v>
      </c>
      <c r="F24" s="1" t="s">
        <v>48</v>
      </c>
      <c r="G24" s="3">
        <v>44000</v>
      </c>
      <c r="H24">
        <v>5045.3</v>
      </c>
      <c r="I24">
        <v>8</v>
      </c>
      <c r="J24">
        <v>136</v>
      </c>
      <c r="K24">
        <v>0</v>
      </c>
      <c r="L24">
        <v>4845.6499999999996</v>
      </c>
      <c r="M24">
        <v>199.65</v>
      </c>
      <c r="N24">
        <v>4845.6500000019969</v>
      </c>
      <c r="O24" s="1">
        <f>IF(Query2[[#This Row],[ranking]]=1,1,O23+1)</f>
        <v>23</v>
      </c>
    </row>
    <row r="25" spans="1:15" x14ac:dyDescent="0.3">
      <c r="A25" t="str">
        <f>IF(Query2[[#This Row],[ranking]]=1,Query2[[#This Row],[concatenationcolumn]],IF(Query2[[#This Row],[ranking]]=D24+1,Query2[[#This Row],[concatenationcolumn]],_xlfn.CONCAT(Query2[[#This Row],[wh]],"-",Query2[[#This Row],[Column1]])))</f>
        <v>1-24</v>
      </c>
      <c r="B25" s="1" t="s">
        <v>102</v>
      </c>
      <c r="C25">
        <v>1</v>
      </c>
      <c r="D25">
        <v>24</v>
      </c>
      <c r="E25" s="1" t="s">
        <v>371</v>
      </c>
      <c r="F25" s="1" t="s">
        <v>30</v>
      </c>
      <c r="G25" s="3">
        <v>44000</v>
      </c>
      <c r="H25">
        <v>10392.950000000001</v>
      </c>
      <c r="I25">
        <v>25</v>
      </c>
      <c r="J25">
        <v>657</v>
      </c>
      <c r="K25">
        <v>0</v>
      </c>
      <c r="L25">
        <v>4656.6099999999997</v>
      </c>
      <c r="M25">
        <v>5736.34</v>
      </c>
      <c r="N25">
        <v>4656.6100000573633</v>
      </c>
      <c r="O25" s="1">
        <f>IF(Query2[[#This Row],[ranking]]=1,1,O24+1)</f>
        <v>24</v>
      </c>
    </row>
    <row r="26" spans="1:15" x14ac:dyDescent="0.3">
      <c r="A26" t="str">
        <f>IF(Query2[[#This Row],[ranking]]=1,Query2[[#This Row],[concatenationcolumn]],IF(Query2[[#This Row],[ranking]]=D25+1,Query2[[#This Row],[concatenationcolumn]],_xlfn.CONCAT(Query2[[#This Row],[wh]],"-",Query2[[#This Row],[Column1]])))</f>
        <v>1-25</v>
      </c>
      <c r="B26" s="1" t="s">
        <v>103</v>
      </c>
      <c r="C26">
        <v>1</v>
      </c>
      <c r="D26">
        <v>25</v>
      </c>
      <c r="E26" s="1" t="s">
        <v>23</v>
      </c>
      <c r="F26" s="1" t="s">
        <v>20</v>
      </c>
      <c r="G26" s="3">
        <v>43990</v>
      </c>
      <c r="H26">
        <v>5542</v>
      </c>
      <c r="I26">
        <v>9</v>
      </c>
      <c r="J26">
        <v>278</v>
      </c>
      <c r="K26">
        <v>0</v>
      </c>
      <c r="L26">
        <v>4605.76</v>
      </c>
      <c r="M26">
        <v>936.24</v>
      </c>
      <c r="N26">
        <v>4605.7600000093626</v>
      </c>
      <c r="O26" s="1">
        <f>IF(Query2[[#This Row],[ranking]]=1,1,O25+1)</f>
        <v>25</v>
      </c>
    </row>
    <row r="27" spans="1:15" x14ac:dyDescent="0.3">
      <c r="A27" t="str">
        <f>IF(Query2[[#This Row],[ranking]]=1,Query2[[#This Row],[concatenationcolumn]],IF(Query2[[#This Row],[ranking]]=D26+1,Query2[[#This Row],[concatenationcolumn]],_xlfn.CONCAT(Query2[[#This Row],[wh]],"-",Query2[[#This Row],[Column1]])))</f>
        <v>1-26</v>
      </c>
      <c r="B27" s="1" t="s">
        <v>104</v>
      </c>
      <c r="C27">
        <v>1</v>
      </c>
      <c r="D27">
        <v>26</v>
      </c>
      <c r="E27" s="1" t="s">
        <v>317</v>
      </c>
      <c r="F27" s="1" t="s">
        <v>318</v>
      </c>
      <c r="G27" s="3">
        <v>43999</v>
      </c>
      <c r="H27">
        <v>30671.62</v>
      </c>
      <c r="I27">
        <v>72</v>
      </c>
      <c r="J27">
        <v>1777</v>
      </c>
      <c r="K27">
        <v>0</v>
      </c>
      <c r="L27">
        <v>4509.3100000000004</v>
      </c>
      <c r="M27">
        <v>26162.31</v>
      </c>
      <c r="N27">
        <v>4509.3100002616229</v>
      </c>
      <c r="O27" s="1">
        <f>IF(Query2[[#This Row],[ranking]]=1,1,O26+1)</f>
        <v>26</v>
      </c>
    </row>
    <row r="28" spans="1:15" x14ac:dyDescent="0.3">
      <c r="A28" t="str">
        <f>IF(Query2[[#This Row],[ranking]]=1,Query2[[#This Row],[concatenationcolumn]],IF(Query2[[#This Row],[ranking]]=D27+1,Query2[[#This Row],[concatenationcolumn]],_xlfn.CONCAT(Query2[[#This Row],[wh]],"-",Query2[[#This Row],[Column1]])))</f>
        <v>1-27</v>
      </c>
      <c r="B28" s="1" t="s">
        <v>105</v>
      </c>
      <c r="C28">
        <v>1</v>
      </c>
      <c r="D28">
        <v>27</v>
      </c>
      <c r="E28" s="1" t="s">
        <v>272</v>
      </c>
      <c r="F28" s="1" t="s">
        <v>32</v>
      </c>
      <c r="G28" s="3">
        <v>43998</v>
      </c>
      <c r="H28">
        <v>34457.519999999997</v>
      </c>
      <c r="I28">
        <v>46</v>
      </c>
      <c r="J28">
        <v>750</v>
      </c>
      <c r="K28">
        <v>0</v>
      </c>
      <c r="L28">
        <v>4136.6400000000003</v>
      </c>
      <c r="M28">
        <v>30320.880000000001</v>
      </c>
      <c r="N28">
        <v>4136.6400003032086</v>
      </c>
      <c r="O28" s="1">
        <f>IF(Query2[[#This Row],[ranking]]=1,1,O27+1)</f>
        <v>27</v>
      </c>
    </row>
    <row r="29" spans="1:15" x14ac:dyDescent="0.3">
      <c r="A29" t="str">
        <f>IF(Query2[[#This Row],[ranking]]=1,Query2[[#This Row],[concatenationcolumn]],IF(Query2[[#This Row],[ranking]]=D28+1,Query2[[#This Row],[concatenationcolumn]],_xlfn.CONCAT(Query2[[#This Row],[wh]],"-",Query2[[#This Row],[Column1]])))</f>
        <v>1-28</v>
      </c>
      <c r="B29" s="1" t="s">
        <v>106</v>
      </c>
      <c r="C29">
        <v>1</v>
      </c>
      <c r="D29">
        <v>28</v>
      </c>
      <c r="E29" s="1" t="s">
        <v>319</v>
      </c>
      <c r="F29" s="1" t="s">
        <v>22</v>
      </c>
      <c r="G29" s="3">
        <v>43999</v>
      </c>
      <c r="H29">
        <v>16110.32</v>
      </c>
      <c r="I29">
        <v>66</v>
      </c>
      <c r="J29">
        <v>802</v>
      </c>
      <c r="K29">
        <v>0</v>
      </c>
      <c r="L29">
        <v>4066.28</v>
      </c>
      <c r="M29">
        <v>12044.04</v>
      </c>
      <c r="N29">
        <v>4066.28000012044</v>
      </c>
      <c r="O29" s="1">
        <f>IF(Query2[[#This Row],[ranking]]=1,1,O28+1)</f>
        <v>28</v>
      </c>
    </row>
    <row r="30" spans="1:15" x14ac:dyDescent="0.3">
      <c r="A30" t="str">
        <f>IF(Query2[[#This Row],[ranking]]=1,Query2[[#This Row],[concatenationcolumn]],IF(Query2[[#This Row],[ranking]]=D29+1,Query2[[#This Row],[concatenationcolumn]],_xlfn.CONCAT(Query2[[#This Row],[wh]],"-",Query2[[#This Row],[Column1]])))</f>
        <v>1-29</v>
      </c>
      <c r="B30" s="1" t="s">
        <v>107</v>
      </c>
      <c r="C30">
        <v>1</v>
      </c>
      <c r="D30">
        <v>29</v>
      </c>
      <c r="E30" s="1" t="s">
        <v>320</v>
      </c>
      <c r="F30" s="1" t="s">
        <v>148</v>
      </c>
      <c r="G30" s="3">
        <v>43999</v>
      </c>
      <c r="H30">
        <v>7304.8</v>
      </c>
      <c r="I30">
        <v>18</v>
      </c>
      <c r="J30">
        <v>1130</v>
      </c>
      <c r="K30">
        <v>0</v>
      </c>
      <c r="L30">
        <v>3096.9</v>
      </c>
      <c r="M30">
        <v>4207.8999999999996</v>
      </c>
      <c r="N30">
        <v>3096.9000000420792</v>
      </c>
      <c r="O30" s="1">
        <f>IF(Query2[[#This Row],[ranking]]=1,1,O29+1)</f>
        <v>29</v>
      </c>
    </row>
    <row r="31" spans="1:15" x14ac:dyDescent="0.3">
      <c r="A31" t="str">
        <f>IF(Query2[[#This Row],[ranking]]=1,Query2[[#This Row],[concatenationcolumn]],IF(Query2[[#This Row],[ranking]]=D30+1,Query2[[#This Row],[concatenationcolumn]],_xlfn.CONCAT(Query2[[#This Row],[wh]],"-",Query2[[#This Row],[Column1]])))</f>
        <v>1-30</v>
      </c>
      <c r="B31" s="1" t="s">
        <v>108</v>
      </c>
      <c r="C31">
        <v>1</v>
      </c>
      <c r="D31">
        <v>30</v>
      </c>
      <c r="E31" s="1" t="s">
        <v>273</v>
      </c>
      <c r="F31" s="1" t="s">
        <v>156</v>
      </c>
      <c r="G31" s="3">
        <v>43998</v>
      </c>
      <c r="H31">
        <v>34144.46</v>
      </c>
      <c r="I31">
        <v>30</v>
      </c>
      <c r="J31">
        <v>867</v>
      </c>
      <c r="K31">
        <v>0</v>
      </c>
      <c r="L31">
        <v>2923.66</v>
      </c>
      <c r="M31">
        <v>31220.799999999999</v>
      </c>
      <c r="N31">
        <v>2923.660000312208</v>
      </c>
      <c r="O31" s="1">
        <f>IF(Query2[[#This Row],[ranking]]=1,1,O30+1)</f>
        <v>30</v>
      </c>
    </row>
    <row r="32" spans="1:15" x14ac:dyDescent="0.3">
      <c r="A32" t="str">
        <f>IF(Query2[[#This Row],[ranking]]=1,Query2[[#This Row],[concatenationcolumn]],IF(Query2[[#This Row],[ranking]]=D31+1,Query2[[#This Row],[concatenationcolumn]],_xlfn.CONCAT(Query2[[#This Row],[wh]],"-",Query2[[#This Row],[Column1]])))</f>
        <v>1-31</v>
      </c>
      <c r="B32" s="1" t="s">
        <v>109</v>
      </c>
      <c r="C32">
        <v>1</v>
      </c>
      <c r="D32">
        <v>31</v>
      </c>
      <c r="E32" s="1" t="s">
        <v>372</v>
      </c>
      <c r="F32" s="1" t="s">
        <v>34</v>
      </c>
      <c r="G32" s="3">
        <v>44000</v>
      </c>
      <c r="H32">
        <v>7939.25</v>
      </c>
      <c r="I32">
        <v>15</v>
      </c>
      <c r="J32">
        <v>281</v>
      </c>
      <c r="K32">
        <v>0</v>
      </c>
      <c r="L32">
        <v>2204.5300000000002</v>
      </c>
      <c r="M32">
        <v>5734.72</v>
      </c>
      <c r="N32">
        <v>2204.530000057347</v>
      </c>
      <c r="O32" s="1">
        <f>IF(Query2[[#This Row],[ranking]]=1,1,O31+1)</f>
        <v>31</v>
      </c>
    </row>
    <row r="33" spans="1:15" x14ac:dyDescent="0.3">
      <c r="A33" t="str">
        <f>IF(Query2[[#This Row],[ranking]]=1,Query2[[#This Row],[concatenationcolumn]],IF(Query2[[#This Row],[ranking]]=D32+1,Query2[[#This Row],[concatenationcolumn]],_xlfn.CONCAT(Query2[[#This Row],[wh]],"-",Query2[[#This Row],[Column1]])))</f>
        <v>1-32</v>
      </c>
      <c r="B33" s="1" t="s">
        <v>110</v>
      </c>
      <c r="C33">
        <v>1</v>
      </c>
      <c r="D33">
        <v>32</v>
      </c>
      <c r="E33" s="1" t="s">
        <v>373</v>
      </c>
      <c r="F33" s="1" t="s">
        <v>44</v>
      </c>
      <c r="G33" s="3">
        <v>44000</v>
      </c>
      <c r="H33">
        <v>9068.9599999999991</v>
      </c>
      <c r="I33">
        <v>20</v>
      </c>
      <c r="J33">
        <v>660</v>
      </c>
      <c r="K33">
        <v>0</v>
      </c>
      <c r="L33">
        <v>1537.26</v>
      </c>
      <c r="M33">
        <v>7531.7</v>
      </c>
      <c r="N33">
        <v>1537.2600000753171</v>
      </c>
      <c r="O33" s="1">
        <f>IF(Query2[[#This Row],[ranking]]=1,1,O32+1)</f>
        <v>32</v>
      </c>
    </row>
    <row r="34" spans="1:15" x14ac:dyDescent="0.3">
      <c r="A34" t="str">
        <f>IF(Query2[[#This Row],[ranking]]=1,Query2[[#This Row],[concatenationcolumn]],IF(Query2[[#This Row],[ranking]]=D33+1,Query2[[#This Row],[concatenationcolumn]],_xlfn.CONCAT(Query2[[#This Row],[wh]],"-",Query2[[#This Row],[Column1]])))</f>
        <v>1-33</v>
      </c>
      <c r="B34" s="1" t="s">
        <v>111</v>
      </c>
      <c r="C34">
        <v>1</v>
      </c>
      <c r="D34">
        <v>33</v>
      </c>
      <c r="E34" s="1" t="s">
        <v>228</v>
      </c>
      <c r="F34" s="1" t="s">
        <v>35</v>
      </c>
      <c r="G34" s="3">
        <v>43994</v>
      </c>
      <c r="H34">
        <v>1553.29</v>
      </c>
      <c r="I34">
        <v>7</v>
      </c>
      <c r="J34">
        <v>28</v>
      </c>
      <c r="K34">
        <v>0</v>
      </c>
      <c r="L34">
        <v>1173.46</v>
      </c>
      <c r="M34">
        <v>379.83</v>
      </c>
      <c r="N34">
        <v>1173.4600000037983</v>
      </c>
      <c r="O34" s="1">
        <f>IF(Query2[[#This Row],[ranking]]=1,1,O33+1)</f>
        <v>33</v>
      </c>
    </row>
    <row r="35" spans="1:15" x14ac:dyDescent="0.3">
      <c r="A35" t="str">
        <f>IF(Query2[[#This Row],[ranking]]=1,Query2[[#This Row],[concatenationcolumn]],IF(Query2[[#This Row],[ranking]]=D34+1,Query2[[#This Row],[concatenationcolumn]],_xlfn.CONCAT(Query2[[#This Row],[wh]],"-",Query2[[#This Row],[Column1]])))</f>
        <v>1-34</v>
      </c>
      <c r="B35" s="1" t="s">
        <v>112</v>
      </c>
      <c r="C35">
        <v>1</v>
      </c>
      <c r="D35">
        <v>34</v>
      </c>
      <c r="E35" s="1" t="s">
        <v>374</v>
      </c>
      <c r="F35" s="1" t="s">
        <v>22</v>
      </c>
      <c r="G35" s="3">
        <v>44000</v>
      </c>
      <c r="H35">
        <v>5267.33</v>
      </c>
      <c r="I35">
        <v>18</v>
      </c>
      <c r="J35">
        <v>160</v>
      </c>
      <c r="K35">
        <v>0</v>
      </c>
      <c r="L35">
        <v>1002.34</v>
      </c>
      <c r="M35">
        <v>4264.99</v>
      </c>
      <c r="N35">
        <v>1002.34000004265</v>
      </c>
      <c r="O35" s="1">
        <f>IF(Query2[[#This Row],[ranking]]=1,1,O34+1)</f>
        <v>34</v>
      </c>
    </row>
    <row r="36" spans="1:15" x14ac:dyDescent="0.3">
      <c r="A36" t="str">
        <f>IF(Query2[[#This Row],[ranking]]=1,Query2[[#This Row],[concatenationcolumn]],IF(Query2[[#This Row],[ranking]]=D35+1,Query2[[#This Row],[concatenationcolumn]],_xlfn.CONCAT(Query2[[#This Row],[wh]],"-",Query2[[#This Row],[Column1]])))</f>
        <v>1-35</v>
      </c>
      <c r="B36" s="1" t="s">
        <v>113</v>
      </c>
      <c r="C36">
        <v>1</v>
      </c>
      <c r="D36">
        <v>35</v>
      </c>
      <c r="E36" s="1" t="s">
        <v>229</v>
      </c>
      <c r="F36" s="1" t="s">
        <v>20</v>
      </c>
      <c r="G36" s="3">
        <v>43997</v>
      </c>
      <c r="H36">
        <v>1177.74</v>
      </c>
      <c r="I36">
        <v>2</v>
      </c>
      <c r="J36">
        <v>29</v>
      </c>
      <c r="K36">
        <v>0</v>
      </c>
      <c r="L36">
        <v>923.22</v>
      </c>
      <c r="M36">
        <v>254.52</v>
      </c>
      <c r="N36">
        <v>923.22000000254525</v>
      </c>
      <c r="O36" s="1">
        <f>IF(Query2[[#This Row],[ranking]]=1,1,O35+1)</f>
        <v>35</v>
      </c>
    </row>
    <row r="37" spans="1:15" x14ac:dyDescent="0.3">
      <c r="A37" t="str">
        <f>IF(Query2[[#This Row],[ranking]]=1,Query2[[#This Row],[concatenationcolumn]],IF(Query2[[#This Row],[ranking]]=D36+1,Query2[[#This Row],[concatenationcolumn]],_xlfn.CONCAT(Query2[[#This Row],[wh]],"-",Query2[[#This Row],[Column1]])))</f>
        <v>1-36</v>
      </c>
      <c r="B37" s="1" t="s">
        <v>114</v>
      </c>
      <c r="C37">
        <v>1</v>
      </c>
      <c r="D37">
        <v>36</v>
      </c>
      <c r="E37" s="1" t="s">
        <v>321</v>
      </c>
      <c r="F37" s="1" t="s">
        <v>28</v>
      </c>
      <c r="G37" s="3">
        <v>43999</v>
      </c>
      <c r="H37">
        <v>752.12</v>
      </c>
      <c r="I37">
        <v>5</v>
      </c>
      <c r="J37">
        <v>96</v>
      </c>
      <c r="K37">
        <v>0</v>
      </c>
      <c r="L37">
        <v>694.62</v>
      </c>
      <c r="M37">
        <v>57.5</v>
      </c>
      <c r="N37">
        <v>694.62000000057503</v>
      </c>
      <c r="O37" s="1">
        <f>IF(Query2[[#This Row],[ranking]]=1,1,O36+1)</f>
        <v>36</v>
      </c>
    </row>
    <row r="38" spans="1:15" x14ac:dyDescent="0.3">
      <c r="A38" t="str">
        <f>IF(Query2[[#This Row],[ranking]]=1,Query2[[#This Row],[concatenationcolumn]],IF(Query2[[#This Row],[ranking]]=D37+1,Query2[[#This Row],[concatenationcolumn]],_xlfn.CONCAT(Query2[[#This Row],[wh]],"-",Query2[[#This Row],[Column1]])))</f>
        <v>1-37</v>
      </c>
      <c r="B38" s="1" t="s">
        <v>115</v>
      </c>
      <c r="C38">
        <v>1</v>
      </c>
      <c r="D38">
        <v>37</v>
      </c>
      <c r="E38" s="1" t="s">
        <v>375</v>
      </c>
      <c r="F38" s="1" t="s">
        <v>148</v>
      </c>
      <c r="G38" s="3">
        <v>44000</v>
      </c>
      <c r="H38">
        <v>677</v>
      </c>
      <c r="I38">
        <v>2</v>
      </c>
      <c r="J38">
        <v>100</v>
      </c>
      <c r="K38">
        <v>0</v>
      </c>
      <c r="L38">
        <v>677</v>
      </c>
      <c r="M38">
        <v>0</v>
      </c>
      <c r="N38">
        <v>677</v>
      </c>
      <c r="O38" s="1">
        <f>IF(Query2[[#This Row],[ranking]]=1,1,O37+1)</f>
        <v>37</v>
      </c>
    </row>
    <row r="39" spans="1:15" x14ac:dyDescent="0.3">
      <c r="A39" t="str">
        <f>IF(Query2[[#This Row],[ranking]]=1,Query2[[#This Row],[concatenationcolumn]],IF(Query2[[#This Row],[ranking]]=D38+1,Query2[[#This Row],[concatenationcolumn]],_xlfn.CONCAT(Query2[[#This Row],[wh]],"-",Query2[[#This Row],[Column1]])))</f>
        <v>1-38</v>
      </c>
      <c r="B39" s="1" t="s">
        <v>116</v>
      </c>
      <c r="C39">
        <v>1</v>
      </c>
      <c r="D39">
        <v>38</v>
      </c>
      <c r="E39" s="1" t="s">
        <v>376</v>
      </c>
      <c r="F39" s="1" t="s">
        <v>148</v>
      </c>
      <c r="G39" s="3">
        <v>44000</v>
      </c>
      <c r="H39">
        <v>406.2</v>
      </c>
      <c r="I39">
        <v>1</v>
      </c>
      <c r="J39">
        <v>60</v>
      </c>
      <c r="K39">
        <v>0</v>
      </c>
      <c r="L39">
        <v>406.2</v>
      </c>
      <c r="M39">
        <v>0</v>
      </c>
      <c r="N39">
        <v>406.2</v>
      </c>
      <c r="O39" s="1">
        <f>IF(Query2[[#This Row],[ranking]]=1,1,O38+1)</f>
        <v>38</v>
      </c>
    </row>
    <row r="40" spans="1:15" x14ac:dyDescent="0.3">
      <c r="A40" t="str">
        <f>IF(Query2[[#This Row],[ranking]]=1,Query2[[#This Row],[concatenationcolumn]],IF(Query2[[#This Row],[ranking]]=D39+1,Query2[[#This Row],[concatenationcolumn]],_xlfn.CONCAT(Query2[[#This Row],[wh]],"-",Query2[[#This Row],[Column1]])))</f>
        <v>1-39</v>
      </c>
      <c r="B40" s="1" t="s">
        <v>117</v>
      </c>
      <c r="C40">
        <v>1</v>
      </c>
      <c r="D40">
        <v>39</v>
      </c>
      <c r="E40" s="1" t="s">
        <v>125</v>
      </c>
      <c r="F40" s="1" t="s">
        <v>126</v>
      </c>
      <c r="G40" s="3">
        <v>43993</v>
      </c>
      <c r="H40">
        <v>4032.49</v>
      </c>
      <c r="I40">
        <v>8</v>
      </c>
      <c r="J40">
        <v>53</v>
      </c>
      <c r="K40">
        <v>0</v>
      </c>
      <c r="L40">
        <v>266.39999999999998</v>
      </c>
      <c r="M40">
        <v>3766.09</v>
      </c>
      <c r="N40">
        <v>266.4000000376609</v>
      </c>
      <c r="O40" s="1">
        <f>IF(Query2[[#This Row],[ranking]]=1,1,O39+1)</f>
        <v>39</v>
      </c>
    </row>
    <row r="41" spans="1:15" x14ac:dyDescent="0.3">
      <c r="A41" t="str">
        <f>IF(Query2[[#This Row],[ranking]]=1,Query2[[#This Row],[concatenationcolumn]],IF(Query2[[#This Row],[ranking]]=D40+1,Query2[[#This Row],[concatenationcolumn]],_xlfn.CONCAT(Query2[[#This Row],[wh]],"-",Query2[[#This Row],[Column1]])))</f>
        <v>1-40</v>
      </c>
      <c r="B41" s="1" t="s">
        <v>118</v>
      </c>
      <c r="C41">
        <v>1</v>
      </c>
      <c r="D41">
        <v>40</v>
      </c>
      <c r="E41" s="1" t="s">
        <v>322</v>
      </c>
      <c r="F41" s="1" t="s">
        <v>36</v>
      </c>
      <c r="G41" s="3">
        <v>43999</v>
      </c>
      <c r="H41">
        <v>8525.34</v>
      </c>
      <c r="I41">
        <v>11</v>
      </c>
      <c r="J41">
        <v>4476</v>
      </c>
      <c r="K41">
        <v>0</v>
      </c>
      <c r="L41">
        <v>157.32</v>
      </c>
      <c r="M41">
        <v>8368.02</v>
      </c>
      <c r="N41">
        <v>157.32000008368021</v>
      </c>
      <c r="O41" s="1">
        <f>IF(Query2[[#This Row],[ranking]]=1,1,O40+1)</f>
        <v>40</v>
      </c>
    </row>
    <row r="42" spans="1:15" x14ac:dyDescent="0.3">
      <c r="A42" t="str">
        <f>IF(Query2[[#This Row],[ranking]]=1,Query2[[#This Row],[concatenationcolumn]],IF(Query2[[#This Row],[ranking]]=D41+1,Query2[[#This Row],[concatenationcolumn]],_xlfn.CONCAT(Query2[[#This Row],[wh]],"-",Query2[[#This Row],[Column1]])))</f>
        <v>1-41</v>
      </c>
      <c r="B42" s="1" t="s">
        <v>119</v>
      </c>
      <c r="C42">
        <v>1</v>
      </c>
      <c r="D42">
        <v>41</v>
      </c>
      <c r="E42" s="1" t="s">
        <v>377</v>
      </c>
      <c r="F42" s="1" t="s">
        <v>34</v>
      </c>
      <c r="G42" s="3">
        <v>44000</v>
      </c>
      <c r="H42">
        <v>2142.36</v>
      </c>
      <c r="I42">
        <v>7</v>
      </c>
      <c r="J42">
        <v>115</v>
      </c>
      <c r="K42">
        <v>0</v>
      </c>
      <c r="L42">
        <v>137.28</v>
      </c>
      <c r="M42">
        <v>2005.08</v>
      </c>
      <c r="N42">
        <v>137.28000002005081</v>
      </c>
      <c r="O42" s="1">
        <f>IF(Query2[[#This Row],[ranking]]=1,1,O41+1)</f>
        <v>41</v>
      </c>
    </row>
    <row r="43" spans="1:15" x14ac:dyDescent="0.3">
      <c r="A43" t="str">
        <f>IF(Query2[[#This Row],[ranking]]=1,Query2[[#This Row],[concatenationcolumn]],IF(Query2[[#This Row],[ranking]]=D42+1,Query2[[#This Row],[concatenationcolumn]],_xlfn.CONCAT(Query2[[#This Row],[wh]],"-",Query2[[#This Row],[Column1]])))</f>
        <v>1-42</v>
      </c>
      <c r="B43" s="1" t="s">
        <v>120</v>
      </c>
      <c r="C43">
        <v>1</v>
      </c>
      <c r="D43">
        <v>42</v>
      </c>
      <c r="E43" s="1" t="s">
        <v>124</v>
      </c>
      <c r="F43" s="1" t="s">
        <v>36</v>
      </c>
      <c r="G43" s="3">
        <v>43993</v>
      </c>
      <c r="H43">
        <v>8183.82</v>
      </c>
      <c r="I43">
        <v>20</v>
      </c>
      <c r="J43">
        <v>3858</v>
      </c>
      <c r="K43">
        <v>0</v>
      </c>
      <c r="L43">
        <v>80.64</v>
      </c>
      <c r="M43">
        <v>8103.18</v>
      </c>
      <c r="N43">
        <v>80.640000081031801</v>
      </c>
      <c r="O43" s="1">
        <f>IF(Query2[[#This Row],[ranking]]=1,1,O42+1)</f>
        <v>42</v>
      </c>
    </row>
    <row r="44" spans="1:15" x14ac:dyDescent="0.3">
      <c r="A44" t="str">
        <f>IF(Query2[[#This Row],[ranking]]=1,Query2[[#This Row],[concatenationcolumn]],IF(Query2[[#This Row],[ranking]]=D43+1,Query2[[#This Row],[concatenationcolumn]],_xlfn.CONCAT(Query2[[#This Row],[wh]],"-",Query2[[#This Row],[Column1]])))</f>
        <v>1-43</v>
      </c>
      <c r="B44" s="1" t="s">
        <v>121</v>
      </c>
      <c r="C44">
        <v>1</v>
      </c>
      <c r="D44">
        <v>43</v>
      </c>
      <c r="E44" s="1" t="s">
        <v>26</v>
      </c>
      <c r="F44" s="1" t="s">
        <v>27</v>
      </c>
      <c r="G44" s="3">
        <v>43990</v>
      </c>
      <c r="H44">
        <v>854.16</v>
      </c>
      <c r="I44">
        <v>4</v>
      </c>
      <c r="J44">
        <v>66</v>
      </c>
      <c r="K44">
        <v>0</v>
      </c>
      <c r="L44">
        <v>54</v>
      </c>
      <c r="M44">
        <v>800.16</v>
      </c>
      <c r="N44">
        <v>54.000000008001599</v>
      </c>
      <c r="O44" s="1">
        <f>IF(Query2[[#This Row],[ranking]]=1,1,O43+1)</f>
        <v>43</v>
      </c>
    </row>
    <row r="45" spans="1:15" x14ac:dyDescent="0.3">
      <c r="A45" t="str">
        <f>IF(Query2[[#This Row],[ranking]]=1,Query2[[#This Row],[concatenationcolumn]],IF(Query2[[#This Row],[ranking]]=D44+1,Query2[[#This Row],[concatenationcolumn]],_xlfn.CONCAT(Query2[[#This Row],[wh]],"-",Query2[[#This Row],[Column1]])))</f>
        <v>1-44</v>
      </c>
      <c r="B45" s="1" t="s">
        <v>122</v>
      </c>
      <c r="C45">
        <v>1</v>
      </c>
      <c r="D45">
        <v>44</v>
      </c>
      <c r="E45" s="1" t="s">
        <v>230</v>
      </c>
      <c r="F45" s="1" t="s">
        <v>36</v>
      </c>
      <c r="G45" s="3">
        <v>43997</v>
      </c>
      <c r="H45">
        <v>12207.96</v>
      </c>
      <c r="I45">
        <v>4</v>
      </c>
      <c r="J45">
        <v>6504</v>
      </c>
      <c r="K45">
        <v>0</v>
      </c>
      <c r="L45">
        <v>40.68</v>
      </c>
      <c r="M45">
        <v>12167.28</v>
      </c>
      <c r="N45">
        <v>40.680000121672798</v>
      </c>
      <c r="O45" s="1">
        <f>IF(Query2[[#This Row],[ranking]]=1,1,O44+1)</f>
        <v>44</v>
      </c>
    </row>
    <row r="46" spans="1:15" x14ac:dyDescent="0.3">
      <c r="A46" t="str">
        <f>IF(Query2[[#This Row],[ranking]]=1,Query2[[#This Row],[concatenationcolumn]],IF(Query2[[#This Row],[ranking]]=D45+1,Query2[[#This Row],[concatenationcolumn]],_xlfn.CONCAT(Query2[[#This Row],[wh]],"-",Query2[[#This Row],[Column1]])))</f>
        <v>1-45</v>
      </c>
      <c r="B46" s="1" t="s">
        <v>123</v>
      </c>
      <c r="C46">
        <v>1</v>
      </c>
      <c r="D46">
        <v>45</v>
      </c>
      <c r="E46" s="1" t="s">
        <v>231</v>
      </c>
      <c r="F46" s="1" t="s">
        <v>156</v>
      </c>
      <c r="G46" s="3">
        <v>43994</v>
      </c>
      <c r="H46">
        <v>192.88</v>
      </c>
      <c r="I46">
        <v>2</v>
      </c>
      <c r="J46">
        <v>8</v>
      </c>
      <c r="K46">
        <v>0</v>
      </c>
      <c r="L46">
        <v>0</v>
      </c>
      <c r="M46">
        <v>192.88</v>
      </c>
      <c r="N46">
        <v>1.9288000000000002E-9</v>
      </c>
      <c r="O46" s="1">
        <f>IF(Query2[[#This Row],[ranking]]=1,1,O45+1)</f>
        <v>45</v>
      </c>
    </row>
    <row r="47" spans="1:15" x14ac:dyDescent="0.3">
      <c r="A47" t="str">
        <f>IF(Query2[[#This Row],[ranking]]=1,Query2[[#This Row],[concatenationcolumn]],IF(Query2[[#This Row],[ranking]]=D46+1,Query2[[#This Row],[concatenationcolumn]],_xlfn.CONCAT(Query2[[#This Row],[wh]],"-",Query2[[#This Row],[Column1]])))</f>
        <v>6-1</v>
      </c>
      <c r="B47" s="1" t="s">
        <v>127</v>
      </c>
      <c r="C47">
        <v>6</v>
      </c>
      <c r="D47">
        <v>1</v>
      </c>
      <c r="E47" s="1" t="s">
        <v>378</v>
      </c>
      <c r="F47" s="1" t="s">
        <v>39</v>
      </c>
      <c r="G47" s="3">
        <v>44000</v>
      </c>
      <c r="H47">
        <v>7209.54</v>
      </c>
      <c r="I47">
        <v>9</v>
      </c>
      <c r="J47">
        <v>216</v>
      </c>
      <c r="K47">
        <v>0</v>
      </c>
      <c r="L47">
        <v>6959.94</v>
      </c>
      <c r="M47">
        <v>249.6</v>
      </c>
      <c r="N47">
        <v>6959.9400000024962</v>
      </c>
      <c r="O47" s="1">
        <f>IF(Query2[[#This Row],[ranking]]=1,1,O46+1)</f>
        <v>1</v>
      </c>
    </row>
    <row r="48" spans="1:15" x14ac:dyDescent="0.3">
      <c r="A48" t="str">
        <f>IF(Query2[[#This Row],[ranking]]=1,Query2[[#This Row],[concatenationcolumn]],IF(Query2[[#This Row],[ranking]]=D47+1,Query2[[#This Row],[concatenationcolumn]],_xlfn.CONCAT(Query2[[#This Row],[wh]],"-",Query2[[#This Row],[Column1]])))</f>
        <v>6-2</v>
      </c>
      <c r="B48" s="1" t="s">
        <v>128</v>
      </c>
      <c r="C48">
        <v>6</v>
      </c>
      <c r="D48">
        <v>2</v>
      </c>
      <c r="E48" s="1" t="s">
        <v>323</v>
      </c>
      <c r="F48" s="1" t="s">
        <v>24</v>
      </c>
      <c r="G48" s="3">
        <v>43999</v>
      </c>
      <c r="H48">
        <v>18732.55</v>
      </c>
      <c r="I48">
        <v>31</v>
      </c>
      <c r="J48">
        <v>796</v>
      </c>
      <c r="K48">
        <v>0</v>
      </c>
      <c r="L48">
        <v>5870.6</v>
      </c>
      <c r="M48">
        <v>12861.95</v>
      </c>
      <c r="N48">
        <v>5870.6000001286193</v>
      </c>
      <c r="O48" s="1">
        <f>IF(Query2[[#This Row],[ranking]]=1,1,O47+1)</f>
        <v>2</v>
      </c>
    </row>
    <row r="49" spans="1:15" x14ac:dyDescent="0.3">
      <c r="A49" t="str">
        <f>IF(Query2[[#This Row],[ranking]]=1,Query2[[#This Row],[concatenationcolumn]],IF(Query2[[#This Row],[ranking]]=D48+1,Query2[[#This Row],[concatenationcolumn]],_xlfn.CONCAT(Query2[[#This Row],[wh]],"-",Query2[[#This Row],[Column1]])))</f>
        <v>6-3</v>
      </c>
      <c r="B49" s="1" t="s">
        <v>129</v>
      </c>
      <c r="C49">
        <v>6</v>
      </c>
      <c r="D49">
        <v>3</v>
      </c>
      <c r="E49" s="1" t="s">
        <v>274</v>
      </c>
      <c r="F49" s="1" t="s">
        <v>32</v>
      </c>
      <c r="G49" s="3">
        <v>43998</v>
      </c>
      <c r="H49">
        <v>11958.57</v>
      </c>
      <c r="I49">
        <v>56</v>
      </c>
      <c r="J49">
        <v>263</v>
      </c>
      <c r="K49">
        <v>0</v>
      </c>
      <c r="L49">
        <v>5014.8999999999996</v>
      </c>
      <c r="M49">
        <v>6943.67</v>
      </c>
      <c r="N49">
        <v>5014.9000000694368</v>
      </c>
      <c r="O49" s="1">
        <f>IF(Query2[[#This Row],[ranking]]=1,1,O48+1)</f>
        <v>3</v>
      </c>
    </row>
    <row r="50" spans="1:15" x14ac:dyDescent="0.3">
      <c r="A50" t="str">
        <f>IF(Query2[[#This Row],[ranking]]=1,Query2[[#This Row],[concatenationcolumn]],IF(Query2[[#This Row],[ranking]]=D49+1,Query2[[#This Row],[concatenationcolumn]],_xlfn.CONCAT(Query2[[#This Row],[wh]],"-",Query2[[#This Row],[Column1]])))</f>
        <v>6-4</v>
      </c>
      <c r="B50" s="1" t="s">
        <v>130</v>
      </c>
      <c r="C50">
        <v>6</v>
      </c>
      <c r="D50">
        <v>4</v>
      </c>
      <c r="E50" s="1" t="s">
        <v>379</v>
      </c>
      <c r="F50" s="1" t="s">
        <v>148</v>
      </c>
      <c r="G50" s="3">
        <v>44000</v>
      </c>
      <c r="H50">
        <v>27442.799999999999</v>
      </c>
      <c r="I50">
        <v>11</v>
      </c>
      <c r="J50">
        <v>3740</v>
      </c>
      <c r="K50">
        <v>0</v>
      </c>
      <c r="L50">
        <v>4917.3999999999996</v>
      </c>
      <c r="M50">
        <v>22525.4</v>
      </c>
      <c r="N50">
        <v>4917.4000002252542</v>
      </c>
      <c r="O50" s="1">
        <f>IF(Query2[[#This Row],[ranking]]=1,1,O49+1)</f>
        <v>4</v>
      </c>
    </row>
    <row r="51" spans="1:15" x14ac:dyDescent="0.3">
      <c r="A51" t="str">
        <f>IF(Query2[[#This Row],[ranking]]=1,Query2[[#This Row],[concatenationcolumn]],IF(Query2[[#This Row],[ranking]]=D50+1,Query2[[#This Row],[concatenationcolumn]],_xlfn.CONCAT(Query2[[#This Row],[wh]],"-",Query2[[#This Row],[Column1]])))</f>
        <v>6-5</v>
      </c>
      <c r="B51" s="1" t="s">
        <v>131</v>
      </c>
      <c r="C51">
        <v>6</v>
      </c>
      <c r="D51">
        <v>5</v>
      </c>
      <c r="E51" s="1" t="s">
        <v>325</v>
      </c>
      <c r="F51" s="1" t="s">
        <v>24</v>
      </c>
      <c r="G51" s="3">
        <v>43999</v>
      </c>
      <c r="H51">
        <v>5228.72</v>
      </c>
      <c r="I51">
        <v>14</v>
      </c>
      <c r="J51">
        <v>209</v>
      </c>
      <c r="K51">
        <v>0</v>
      </c>
      <c r="L51">
        <v>4625.04</v>
      </c>
      <c r="M51">
        <v>603.67999999999995</v>
      </c>
      <c r="N51">
        <v>4625.0400000060372</v>
      </c>
      <c r="O51" s="1">
        <f>IF(Query2[[#This Row],[ranking]]=1,1,O50+1)</f>
        <v>5</v>
      </c>
    </row>
    <row r="52" spans="1:15" x14ac:dyDescent="0.3">
      <c r="A52" t="str">
        <f>IF(Query2[[#This Row],[ranking]]=1,Query2[[#This Row],[concatenationcolumn]],IF(Query2[[#This Row],[ranking]]=D51+1,Query2[[#This Row],[concatenationcolumn]],_xlfn.CONCAT(Query2[[#This Row],[wh]],"-",Query2[[#This Row],[Column1]])))</f>
        <v>6-6</v>
      </c>
      <c r="B52" s="1" t="s">
        <v>132</v>
      </c>
      <c r="C52">
        <v>6</v>
      </c>
      <c r="D52">
        <v>6</v>
      </c>
      <c r="E52" s="1" t="s">
        <v>324</v>
      </c>
      <c r="F52" s="1" t="s">
        <v>24</v>
      </c>
      <c r="G52" s="3">
        <v>43999</v>
      </c>
      <c r="H52">
        <v>5132.9799999999996</v>
      </c>
      <c r="I52">
        <v>12</v>
      </c>
      <c r="J52">
        <v>297</v>
      </c>
      <c r="K52">
        <v>0</v>
      </c>
      <c r="L52">
        <v>4170.3900000000003</v>
      </c>
      <c r="M52">
        <v>962.59</v>
      </c>
      <c r="N52">
        <v>4170.3900000096255</v>
      </c>
      <c r="O52" s="1">
        <f>IF(Query2[[#This Row],[ranking]]=1,1,O51+1)</f>
        <v>6</v>
      </c>
    </row>
    <row r="53" spans="1:15" x14ac:dyDescent="0.3">
      <c r="A53" t="str">
        <f>IF(Query2[[#This Row],[ranking]]=1,Query2[[#This Row],[concatenationcolumn]],IF(Query2[[#This Row],[ranking]]=D52+1,Query2[[#This Row],[concatenationcolumn]],_xlfn.CONCAT(Query2[[#This Row],[wh]],"-",Query2[[#This Row],[Column1]])))</f>
        <v>6-7</v>
      </c>
      <c r="B53" s="1" t="s">
        <v>133</v>
      </c>
      <c r="C53">
        <v>6</v>
      </c>
      <c r="D53">
        <v>7</v>
      </c>
      <c r="E53" s="1" t="s">
        <v>326</v>
      </c>
      <c r="F53" s="1" t="s">
        <v>148</v>
      </c>
      <c r="G53" s="3">
        <v>43999</v>
      </c>
      <c r="H53">
        <v>8044.6</v>
      </c>
      <c r="I53">
        <v>10</v>
      </c>
      <c r="J53">
        <v>1070</v>
      </c>
      <c r="K53">
        <v>0</v>
      </c>
      <c r="L53">
        <v>3039.4</v>
      </c>
      <c r="M53">
        <v>5005.2</v>
      </c>
      <c r="N53">
        <v>3039.4000000500519</v>
      </c>
      <c r="O53" s="1">
        <f>IF(Query2[[#This Row],[ranking]]=1,1,O52+1)</f>
        <v>7</v>
      </c>
    </row>
    <row r="54" spans="1:15" x14ac:dyDescent="0.3">
      <c r="A54" t="str">
        <f>IF(Query2[[#This Row],[ranking]]=1,Query2[[#This Row],[concatenationcolumn]],IF(Query2[[#This Row],[ranking]]=D53+1,Query2[[#This Row],[concatenationcolumn]],_xlfn.CONCAT(Query2[[#This Row],[wh]],"-",Query2[[#This Row],[Column1]])))</f>
        <v>6-8</v>
      </c>
      <c r="B54" s="1" t="s">
        <v>134</v>
      </c>
      <c r="C54">
        <v>6</v>
      </c>
      <c r="D54">
        <v>8</v>
      </c>
      <c r="E54" s="1" t="s">
        <v>380</v>
      </c>
      <c r="F54" s="1" t="s">
        <v>148</v>
      </c>
      <c r="G54" s="3">
        <v>44000</v>
      </c>
      <c r="H54">
        <v>3193.5</v>
      </c>
      <c r="I54">
        <v>9</v>
      </c>
      <c r="J54">
        <v>451</v>
      </c>
      <c r="K54">
        <v>0</v>
      </c>
      <c r="L54">
        <v>2787.3</v>
      </c>
      <c r="M54">
        <v>406.2</v>
      </c>
      <c r="N54">
        <v>2787.300000004062</v>
      </c>
      <c r="O54" s="1">
        <f>IF(Query2[[#This Row],[ranking]]=1,1,O53+1)</f>
        <v>8</v>
      </c>
    </row>
    <row r="55" spans="1:15" x14ac:dyDescent="0.3">
      <c r="A55" t="str">
        <f>IF(Query2[[#This Row],[ranking]]=1,Query2[[#This Row],[concatenationcolumn]],IF(Query2[[#This Row],[ranking]]=D54+1,Query2[[#This Row],[concatenationcolumn]],_xlfn.CONCAT(Query2[[#This Row],[wh]],"-",Query2[[#This Row],[Column1]])))</f>
        <v>6-9</v>
      </c>
      <c r="B55" s="1" t="s">
        <v>135</v>
      </c>
      <c r="C55">
        <v>6</v>
      </c>
      <c r="D55">
        <v>9</v>
      </c>
      <c r="E55" s="1" t="s">
        <v>381</v>
      </c>
      <c r="F55" s="1" t="s">
        <v>156</v>
      </c>
      <c r="G55" s="3">
        <v>44000</v>
      </c>
      <c r="H55">
        <v>15699.24</v>
      </c>
      <c r="I55">
        <v>32</v>
      </c>
      <c r="J55">
        <v>381</v>
      </c>
      <c r="K55">
        <v>0</v>
      </c>
      <c r="L55">
        <v>1573.04</v>
      </c>
      <c r="M55">
        <v>14126.2</v>
      </c>
      <c r="N55">
        <v>1573.040000141262</v>
      </c>
      <c r="O55" s="1">
        <f>IF(Query2[[#This Row],[ranking]]=1,1,O54+1)</f>
        <v>9</v>
      </c>
    </row>
    <row r="56" spans="1:15" x14ac:dyDescent="0.3">
      <c r="A56" t="str">
        <f>IF(Query2[[#This Row],[ranking]]=1,Query2[[#This Row],[concatenationcolumn]],IF(Query2[[#This Row],[ranking]]=D55+1,Query2[[#This Row],[concatenationcolumn]],_xlfn.CONCAT(Query2[[#This Row],[wh]],"-",Query2[[#This Row],[Column1]])))</f>
        <v>6-10</v>
      </c>
      <c r="B56" s="1" t="s">
        <v>136</v>
      </c>
      <c r="C56">
        <v>6</v>
      </c>
      <c r="D56">
        <v>10</v>
      </c>
      <c r="E56" s="1" t="s">
        <v>276</v>
      </c>
      <c r="F56" s="1" t="s">
        <v>29</v>
      </c>
      <c r="G56" s="3">
        <v>43998</v>
      </c>
      <c r="H56">
        <v>7606.77</v>
      </c>
      <c r="I56">
        <v>41</v>
      </c>
      <c r="J56">
        <v>550</v>
      </c>
      <c r="K56">
        <v>0</v>
      </c>
      <c r="L56">
        <v>1248.93</v>
      </c>
      <c r="M56">
        <v>6357.84</v>
      </c>
      <c r="N56">
        <v>1248.9300000635783</v>
      </c>
      <c r="O56" s="1">
        <f>IF(Query2[[#This Row],[ranking]]=1,1,O55+1)</f>
        <v>10</v>
      </c>
    </row>
    <row r="57" spans="1:15" x14ac:dyDescent="0.3">
      <c r="A57" t="str">
        <f>IF(Query2[[#This Row],[ranking]]=1,Query2[[#This Row],[concatenationcolumn]],IF(Query2[[#This Row],[ranking]]=D56+1,Query2[[#This Row],[concatenationcolumn]],_xlfn.CONCAT(Query2[[#This Row],[wh]],"-",Query2[[#This Row],[Column1]])))</f>
        <v>6-11</v>
      </c>
      <c r="B57" s="1" t="s">
        <v>137</v>
      </c>
      <c r="C57">
        <v>6</v>
      </c>
      <c r="D57">
        <v>11</v>
      </c>
      <c r="E57" s="1" t="s">
        <v>382</v>
      </c>
      <c r="F57" s="1" t="s">
        <v>383</v>
      </c>
      <c r="G57" s="3">
        <v>44000</v>
      </c>
      <c r="H57">
        <v>2816.8</v>
      </c>
      <c r="I57">
        <v>4</v>
      </c>
      <c r="J57">
        <v>328</v>
      </c>
      <c r="K57">
        <v>0</v>
      </c>
      <c r="L57">
        <v>1242.4000000000001</v>
      </c>
      <c r="M57">
        <v>1574.4</v>
      </c>
      <c r="N57">
        <v>1242.4000000157439</v>
      </c>
      <c r="O57" s="1">
        <f>IF(Query2[[#This Row],[ranking]]=1,1,O56+1)</f>
        <v>11</v>
      </c>
    </row>
    <row r="58" spans="1:15" x14ac:dyDescent="0.3">
      <c r="A58" t="str">
        <f>IF(Query2[[#This Row],[ranking]]=1,Query2[[#This Row],[concatenationcolumn]],IF(Query2[[#This Row],[ranking]]=D57+1,Query2[[#This Row],[concatenationcolumn]],_xlfn.CONCAT(Query2[[#This Row],[wh]],"-",Query2[[#This Row],[Column1]])))</f>
        <v>6-12</v>
      </c>
      <c r="B58" s="1" t="s">
        <v>138</v>
      </c>
      <c r="C58">
        <v>6</v>
      </c>
      <c r="D58">
        <v>12</v>
      </c>
      <c r="E58" s="1" t="s">
        <v>275</v>
      </c>
      <c r="F58" s="1" t="s">
        <v>226</v>
      </c>
      <c r="G58" s="3">
        <v>43998</v>
      </c>
      <c r="H58">
        <v>2581.19</v>
      </c>
      <c r="I58">
        <v>10</v>
      </c>
      <c r="J58">
        <v>92</v>
      </c>
      <c r="K58">
        <v>0</v>
      </c>
      <c r="L58">
        <v>1196.21</v>
      </c>
      <c r="M58">
        <v>1384.98</v>
      </c>
      <c r="N58">
        <v>1196.2100000138498</v>
      </c>
      <c r="O58" s="1">
        <f>IF(Query2[[#This Row],[ranking]]=1,1,O57+1)</f>
        <v>12</v>
      </c>
    </row>
    <row r="59" spans="1:15" x14ac:dyDescent="0.3">
      <c r="A59" t="str">
        <f>IF(Query2[[#This Row],[ranking]]=1,Query2[[#This Row],[concatenationcolumn]],IF(Query2[[#This Row],[ranking]]=D58+1,Query2[[#This Row],[concatenationcolumn]],_xlfn.CONCAT(Query2[[#This Row],[wh]],"-",Query2[[#This Row],[Column1]])))</f>
        <v>6-13</v>
      </c>
      <c r="B59" s="1" t="s">
        <v>139</v>
      </c>
      <c r="C59">
        <v>6</v>
      </c>
      <c r="D59">
        <v>13</v>
      </c>
      <c r="E59" s="1" t="s">
        <v>327</v>
      </c>
      <c r="F59" s="1" t="s">
        <v>24</v>
      </c>
      <c r="G59" s="3">
        <v>43999</v>
      </c>
      <c r="H59">
        <v>1188.54</v>
      </c>
      <c r="I59">
        <v>5</v>
      </c>
      <c r="J59">
        <v>49</v>
      </c>
      <c r="K59">
        <v>0</v>
      </c>
      <c r="L59">
        <v>1188.54</v>
      </c>
      <c r="M59">
        <v>0</v>
      </c>
      <c r="N59">
        <v>1188.54</v>
      </c>
      <c r="O59" s="1">
        <f>IF(Query2[[#This Row],[ranking]]=1,1,O58+1)</f>
        <v>13</v>
      </c>
    </row>
    <row r="60" spans="1:15" x14ac:dyDescent="0.3">
      <c r="A60" t="str">
        <f>IF(Query2[[#This Row],[ranking]]=1,Query2[[#This Row],[concatenationcolumn]],IF(Query2[[#This Row],[ranking]]=D59+1,Query2[[#This Row],[concatenationcolumn]],_xlfn.CONCAT(Query2[[#This Row],[wh]],"-",Query2[[#This Row],[Column1]])))</f>
        <v>6-14</v>
      </c>
      <c r="B60" s="1" t="s">
        <v>233</v>
      </c>
      <c r="C60">
        <v>6</v>
      </c>
      <c r="D60">
        <v>14</v>
      </c>
      <c r="E60" s="1" t="s">
        <v>277</v>
      </c>
      <c r="F60" s="1" t="s">
        <v>278</v>
      </c>
      <c r="G60" s="3">
        <v>43998</v>
      </c>
      <c r="H60">
        <v>1044.28</v>
      </c>
      <c r="I60">
        <v>37</v>
      </c>
      <c r="J60">
        <v>146</v>
      </c>
      <c r="K60">
        <v>0</v>
      </c>
      <c r="L60">
        <v>881.88</v>
      </c>
      <c r="M60">
        <v>162.4</v>
      </c>
      <c r="N60">
        <v>881.88000000162401</v>
      </c>
      <c r="O60" s="1">
        <f>IF(Query2[[#This Row],[ranking]]=1,1,O59+1)</f>
        <v>14</v>
      </c>
    </row>
    <row r="61" spans="1:15" x14ac:dyDescent="0.3">
      <c r="A61" t="str">
        <f>IF(Query2[[#This Row],[ranking]]=1,Query2[[#This Row],[concatenationcolumn]],IF(Query2[[#This Row],[ranking]]=D60+1,Query2[[#This Row],[concatenationcolumn]],_xlfn.CONCAT(Query2[[#This Row],[wh]],"-",Query2[[#This Row],[Column1]])))</f>
        <v>6-15</v>
      </c>
      <c r="B61" s="1" t="s">
        <v>234</v>
      </c>
      <c r="C61">
        <v>6</v>
      </c>
      <c r="D61">
        <v>15</v>
      </c>
      <c r="E61" s="1" t="s">
        <v>328</v>
      </c>
      <c r="F61" s="1" t="s">
        <v>260</v>
      </c>
      <c r="G61" s="3">
        <v>43999</v>
      </c>
      <c r="H61">
        <v>6326.2</v>
      </c>
      <c r="I61">
        <v>15</v>
      </c>
      <c r="J61">
        <v>444</v>
      </c>
      <c r="K61">
        <v>1067.8800000000001</v>
      </c>
      <c r="L61">
        <v>323.58</v>
      </c>
      <c r="M61">
        <v>4934.74</v>
      </c>
      <c r="N61">
        <v>857.52000004934735</v>
      </c>
      <c r="O61" s="1">
        <f>IF(Query2[[#This Row],[ranking]]=1,1,O60+1)</f>
        <v>15</v>
      </c>
    </row>
    <row r="62" spans="1:15" x14ac:dyDescent="0.3">
      <c r="A62" t="str">
        <f>IF(Query2[[#This Row],[ranking]]=1,Query2[[#This Row],[concatenationcolumn]],IF(Query2[[#This Row],[ranking]]=D61+1,Query2[[#This Row],[concatenationcolumn]],_xlfn.CONCAT(Query2[[#This Row],[wh]],"-",Query2[[#This Row],[Column1]])))</f>
        <v>6-16</v>
      </c>
      <c r="B62" s="1" t="s">
        <v>235</v>
      </c>
      <c r="C62">
        <v>6</v>
      </c>
      <c r="D62">
        <v>16</v>
      </c>
      <c r="E62" s="1" t="s">
        <v>329</v>
      </c>
      <c r="F62" s="1" t="s">
        <v>260</v>
      </c>
      <c r="G62" s="3">
        <v>43999</v>
      </c>
      <c r="H62">
        <v>5478.9</v>
      </c>
      <c r="I62">
        <v>15</v>
      </c>
      <c r="J62">
        <v>430</v>
      </c>
      <c r="K62">
        <v>533.94000000000005</v>
      </c>
      <c r="L62">
        <v>323.58</v>
      </c>
      <c r="M62">
        <v>4621.38</v>
      </c>
      <c r="N62">
        <v>590.55000004621377</v>
      </c>
      <c r="O62" s="1">
        <f>IF(Query2[[#This Row],[ranking]]=1,1,O61+1)</f>
        <v>16</v>
      </c>
    </row>
    <row r="63" spans="1:15" x14ac:dyDescent="0.3">
      <c r="A63" t="str">
        <f>IF(Query2[[#This Row],[ranking]]=1,Query2[[#This Row],[concatenationcolumn]],IF(Query2[[#This Row],[ranking]]=D62+1,Query2[[#This Row],[concatenationcolumn]],_xlfn.CONCAT(Query2[[#This Row],[wh]],"-",Query2[[#This Row],[Column1]])))</f>
        <v>6-17</v>
      </c>
      <c r="B63" s="1" t="s">
        <v>236</v>
      </c>
      <c r="C63">
        <v>6</v>
      </c>
      <c r="D63">
        <v>17</v>
      </c>
      <c r="E63" s="1" t="s">
        <v>331</v>
      </c>
      <c r="F63" s="1" t="s">
        <v>29</v>
      </c>
      <c r="G63" s="3">
        <v>43999</v>
      </c>
      <c r="H63">
        <v>1572.1</v>
      </c>
      <c r="I63">
        <v>11</v>
      </c>
      <c r="J63">
        <v>126</v>
      </c>
      <c r="K63">
        <v>0</v>
      </c>
      <c r="L63">
        <v>403.7</v>
      </c>
      <c r="M63">
        <v>1168.4000000000001</v>
      </c>
      <c r="N63">
        <v>403.70000001168398</v>
      </c>
      <c r="O63" s="1">
        <f>IF(Query2[[#This Row],[ranking]]=1,1,O62+1)</f>
        <v>17</v>
      </c>
    </row>
    <row r="64" spans="1:15" x14ac:dyDescent="0.3">
      <c r="A64" t="str">
        <f>IF(Query2[[#This Row],[ranking]]=1,Query2[[#This Row],[concatenationcolumn]],IF(Query2[[#This Row],[ranking]]=D63+1,Query2[[#This Row],[concatenationcolumn]],_xlfn.CONCAT(Query2[[#This Row],[wh]],"-",Query2[[#This Row],[Column1]])))</f>
        <v>6-18</v>
      </c>
      <c r="B64" s="1" t="s">
        <v>237</v>
      </c>
      <c r="C64">
        <v>6</v>
      </c>
      <c r="D64">
        <v>18</v>
      </c>
      <c r="E64" s="1" t="s">
        <v>333</v>
      </c>
      <c r="F64" s="1" t="s">
        <v>22</v>
      </c>
      <c r="G64" s="3">
        <v>43999</v>
      </c>
      <c r="H64">
        <v>2056.56</v>
      </c>
      <c r="I64">
        <v>11</v>
      </c>
      <c r="J64">
        <v>68</v>
      </c>
      <c r="K64">
        <v>0</v>
      </c>
      <c r="L64">
        <v>348.97</v>
      </c>
      <c r="M64">
        <v>1707.59</v>
      </c>
      <c r="N64">
        <v>348.9700000170759</v>
      </c>
      <c r="O64" s="1">
        <f>IF(Query2[[#This Row],[ranking]]=1,1,O63+1)</f>
        <v>18</v>
      </c>
    </row>
    <row r="65" spans="1:15" x14ac:dyDescent="0.3">
      <c r="A65" t="str">
        <f>IF(Query2[[#This Row],[ranking]]=1,Query2[[#This Row],[concatenationcolumn]],IF(Query2[[#This Row],[ranking]]=D64+1,Query2[[#This Row],[concatenationcolumn]],_xlfn.CONCAT(Query2[[#This Row],[wh]],"-",Query2[[#This Row],[Column1]])))</f>
        <v>6-19</v>
      </c>
      <c r="B65" s="1" t="s">
        <v>238</v>
      </c>
      <c r="C65">
        <v>6</v>
      </c>
      <c r="D65">
        <v>19</v>
      </c>
      <c r="E65" s="1" t="s">
        <v>279</v>
      </c>
      <c r="F65" s="1" t="s">
        <v>31</v>
      </c>
      <c r="G65" s="3">
        <v>43998</v>
      </c>
      <c r="H65">
        <v>1863.14</v>
      </c>
      <c r="I65">
        <v>7</v>
      </c>
      <c r="J65">
        <v>92</v>
      </c>
      <c r="K65">
        <v>0</v>
      </c>
      <c r="L65">
        <v>344.76</v>
      </c>
      <c r="M65">
        <v>1518.38</v>
      </c>
      <c r="N65">
        <v>344.76000001518378</v>
      </c>
      <c r="O65" s="1">
        <f>IF(Query2[[#This Row],[ranking]]=1,1,O64+1)</f>
        <v>19</v>
      </c>
    </row>
    <row r="66" spans="1:15" x14ac:dyDescent="0.3">
      <c r="A66" t="str">
        <f>IF(Query2[[#This Row],[ranking]]=1,Query2[[#This Row],[concatenationcolumn]],IF(Query2[[#This Row],[ranking]]=D65+1,Query2[[#This Row],[concatenationcolumn]],_xlfn.CONCAT(Query2[[#This Row],[wh]],"-",Query2[[#This Row],[Column1]])))</f>
        <v>6-20</v>
      </c>
      <c r="B66" s="1" t="s">
        <v>239</v>
      </c>
      <c r="C66">
        <v>6</v>
      </c>
      <c r="D66">
        <v>20</v>
      </c>
      <c r="E66" s="1" t="s">
        <v>336</v>
      </c>
      <c r="F66" s="1" t="s">
        <v>30</v>
      </c>
      <c r="G66" s="3">
        <v>43999</v>
      </c>
      <c r="H66">
        <v>4765.6400000000003</v>
      </c>
      <c r="I66">
        <v>20</v>
      </c>
      <c r="J66">
        <v>298</v>
      </c>
      <c r="K66">
        <v>0</v>
      </c>
      <c r="L66">
        <v>334.66</v>
      </c>
      <c r="M66">
        <v>4430.9799999999996</v>
      </c>
      <c r="N66">
        <v>334.66000004430981</v>
      </c>
      <c r="O66" s="1">
        <f>IF(Query2[[#This Row],[ranking]]=1,1,O65+1)</f>
        <v>20</v>
      </c>
    </row>
    <row r="67" spans="1:15" x14ac:dyDescent="0.3">
      <c r="A67" t="str">
        <f>IF(Query2[[#This Row],[ranking]]=1,Query2[[#This Row],[concatenationcolumn]],IF(Query2[[#This Row],[ranking]]=D66+1,Query2[[#This Row],[concatenationcolumn]],_xlfn.CONCAT(Query2[[#This Row],[wh]],"-",Query2[[#This Row],[Column1]])))</f>
        <v>6-21</v>
      </c>
      <c r="B67" s="1" t="s">
        <v>330</v>
      </c>
      <c r="C67">
        <v>6</v>
      </c>
      <c r="D67">
        <v>21</v>
      </c>
      <c r="E67" s="1" t="s">
        <v>384</v>
      </c>
      <c r="F67" s="1" t="s">
        <v>148</v>
      </c>
      <c r="G67" s="3">
        <v>44000</v>
      </c>
      <c r="H67">
        <v>351.7</v>
      </c>
      <c r="I67">
        <v>3</v>
      </c>
      <c r="J67">
        <v>41</v>
      </c>
      <c r="K67">
        <v>0</v>
      </c>
      <c r="L67">
        <v>208.8</v>
      </c>
      <c r="M67">
        <v>142.9</v>
      </c>
      <c r="N67">
        <v>208.800000001429</v>
      </c>
      <c r="O67" s="1">
        <f>IF(Query2[[#This Row],[ranking]]=1,1,O66+1)</f>
        <v>21</v>
      </c>
    </row>
    <row r="68" spans="1:15" x14ac:dyDescent="0.3">
      <c r="A68" t="str">
        <f>IF(Query2[[#This Row],[ranking]]=1,Query2[[#This Row],[concatenationcolumn]],IF(Query2[[#This Row],[ranking]]=D67+1,Query2[[#This Row],[concatenationcolumn]],_xlfn.CONCAT(Query2[[#This Row],[wh]],"-",Query2[[#This Row],[Column1]])))</f>
        <v>6-22</v>
      </c>
      <c r="B68" s="1" t="s">
        <v>332</v>
      </c>
      <c r="C68">
        <v>6</v>
      </c>
      <c r="D68">
        <v>22</v>
      </c>
      <c r="E68" s="1" t="s">
        <v>338</v>
      </c>
      <c r="F68" s="1" t="s">
        <v>24</v>
      </c>
      <c r="G68" s="3">
        <v>43999</v>
      </c>
      <c r="H68">
        <v>663.14</v>
      </c>
      <c r="I68">
        <v>2</v>
      </c>
      <c r="J68">
        <v>6</v>
      </c>
      <c r="K68">
        <v>0</v>
      </c>
      <c r="L68">
        <v>71.5</v>
      </c>
      <c r="M68">
        <v>591.64</v>
      </c>
      <c r="N68">
        <v>71.500000005916405</v>
      </c>
      <c r="O68" s="1">
        <f>IF(Query2[[#This Row],[ranking]]=1,1,O67+1)</f>
        <v>22</v>
      </c>
    </row>
    <row r="69" spans="1:15" x14ac:dyDescent="0.3">
      <c r="A69" t="str">
        <f>IF(Query2[[#This Row],[ranking]]=1,Query2[[#This Row],[concatenationcolumn]],IF(Query2[[#This Row],[ranking]]=D68+1,Query2[[#This Row],[concatenationcolumn]],_xlfn.CONCAT(Query2[[#This Row],[wh]],"-",Query2[[#This Row],[Column1]])))</f>
        <v>6-23</v>
      </c>
      <c r="B69" s="1" t="s">
        <v>334</v>
      </c>
      <c r="C69">
        <v>6</v>
      </c>
      <c r="D69">
        <v>23</v>
      </c>
      <c r="E69" s="1" t="s">
        <v>339</v>
      </c>
      <c r="F69" s="1" t="s">
        <v>242</v>
      </c>
      <c r="G69" s="3">
        <v>43999</v>
      </c>
      <c r="H69">
        <v>2774.38</v>
      </c>
      <c r="I69">
        <v>13</v>
      </c>
      <c r="J69">
        <v>80</v>
      </c>
      <c r="K69">
        <v>0</v>
      </c>
      <c r="L69">
        <v>54</v>
      </c>
      <c r="M69">
        <v>2720.38</v>
      </c>
      <c r="N69">
        <v>54.000000027203797</v>
      </c>
      <c r="O69" s="1">
        <f>IF(Query2[[#This Row],[ranking]]=1,1,O68+1)</f>
        <v>23</v>
      </c>
    </row>
    <row r="70" spans="1:15" x14ac:dyDescent="0.3">
      <c r="A70" t="str">
        <f>IF(Query2[[#This Row],[ranking]]=1,Query2[[#This Row],[concatenationcolumn]],IF(Query2[[#This Row],[ranking]]=D69+1,Query2[[#This Row],[concatenationcolumn]],_xlfn.CONCAT(Query2[[#This Row],[wh]],"-",Query2[[#This Row],[Column1]])))</f>
        <v>6-24</v>
      </c>
      <c r="B70" s="1" t="s">
        <v>335</v>
      </c>
      <c r="C70">
        <v>6</v>
      </c>
      <c r="D70">
        <v>24</v>
      </c>
      <c r="E70" s="1" t="s">
        <v>340</v>
      </c>
      <c r="F70" s="1" t="s">
        <v>341</v>
      </c>
      <c r="G70" s="3">
        <v>43999</v>
      </c>
      <c r="H70">
        <v>20.9</v>
      </c>
      <c r="I70">
        <v>1</v>
      </c>
      <c r="J70">
        <v>1</v>
      </c>
      <c r="K70">
        <v>0</v>
      </c>
      <c r="L70">
        <v>20.9</v>
      </c>
      <c r="M70">
        <v>0</v>
      </c>
      <c r="N70">
        <v>20.9</v>
      </c>
      <c r="O70" s="1">
        <f>IF(Query2[[#This Row],[ranking]]=1,1,O69+1)</f>
        <v>24</v>
      </c>
    </row>
    <row r="71" spans="1:15" x14ac:dyDescent="0.3">
      <c r="A71" t="str">
        <f>IF(Query2[[#This Row],[ranking]]=1,Query2[[#This Row],[concatenationcolumn]],IF(Query2[[#This Row],[ranking]]=D70+1,Query2[[#This Row],[concatenationcolumn]],_xlfn.CONCAT(Query2[[#This Row],[wh]],"-",Query2[[#This Row],[Column1]])))</f>
        <v>6-25</v>
      </c>
      <c r="B71" s="1" t="s">
        <v>337</v>
      </c>
      <c r="C71">
        <v>6</v>
      </c>
      <c r="D71">
        <v>25</v>
      </c>
      <c r="E71" s="1" t="s">
        <v>342</v>
      </c>
      <c r="F71" s="1" t="s">
        <v>29</v>
      </c>
      <c r="G71" s="3">
        <v>43999</v>
      </c>
      <c r="H71">
        <v>548.6</v>
      </c>
      <c r="I71">
        <v>3</v>
      </c>
      <c r="J71">
        <v>40</v>
      </c>
      <c r="K71">
        <v>0</v>
      </c>
      <c r="L71">
        <v>0</v>
      </c>
      <c r="M71">
        <v>548.6</v>
      </c>
      <c r="N71">
        <v>5.4860000000000003E-9</v>
      </c>
      <c r="O71" s="1">
        <f>IF(Query2[[#This Row],[ranking]]=1,1,O70+1)</f>
        <v>25</v>
      </c>
    </row>
    <row r="72" spans="1:15" x14ac:dyDescent="0.3">
      <c r="A72" t="str">
        <f>IF(Query2[[#This Row],[ranking]]=1,Query2[[#This Row],[concatenationcolumn]],IF(Query2[[#This Row],[ranking]]=D71+1,Query2[[#This Row],[concatenationcolumn]],_xlfn.CONCAT(Query2[[#This Row],[wh]],"-",Query2[[#This Row],[Column1]])))</f>
        <v>7-1</v>
      </c>
      <c r="B72" s="1" t="s">
        <v>140</v>
      </c>
      <c r="C72">
        <v>7</v>
      </c>
      <c r="D72">
        <v>1</v>
      </c>
      <c r="E72" s="1" t="s">
        <v>385</v>
      </c>
      <c r="F72" s="1" t="s">
        <v>44</v>
      </c>
      <c r="G72" s="3">
        <v>44000</v>
      </c>
      <c r="H72">
        <v>7065.26</v>
      </c>
      <c r="I72">
        <v>13</v>
      </c>
      <c r="J72">
        <v>250</v>
      </c>
      <c r="K72">
        <v>0</v>
      </c>
      <c r="L72">
        <v>2369.9</v>
      </c>
      <c r="M72">
        <v>4695.3599999999997</v>
      </c>
      <c r="N72">
        <v>2369.9000000469537</v>
      </c>
      <c r="O72" s="1">
        <f>IF(Query2[[#This Row],[ranking]]=1,1,O71+1)</f>
        <v>1</v>
      </c>
    </row>
    <row r="73" spans="1:15" x14ac:dyDescent="0.3">
      <c r="A73" t="str">
        <f>IF(Query2[[#This Row],[ranking]]=1,Query2[[#This Row],[concatenationcolumn]],IF(Query2[[#This Row],[ranking]]=D72+1,Query2[[#This Row],[concatenationcolumn]],_xlfn.CONCAT(Query2[[#This Row],[wh]],"-",Query2[[#This Row],[Column1]])))</f>
        <v>7-2</v>
      </c>
      <c r="B73" s="1" t="s">
        <v>141</v>
      </c>
      <c r="C73">
        <v>7</v>
      </c>
      <c r="D73">
        <v>2</v>
      </c>
      <c r="E73" s="1" t="s">
        <v>386</v>
      </c>
      <c r="F73" s="1" t="s">
        <v>156</v>
      </c>
      <c r="G73" s="3">
        <v>44000</v>
      </c>
      <c r="H73">
        <v>14214.68</v>
      </c>
      <c r="I73">
        <v>33</v>
      </c>
      <c r="J73">
        <v>238</v>
      </c>
      <c r="K73">
        <v>0</v>
      </c>
      <c r="L73">
        <v>2111.52</v>
      </c>
      <c r="M73">
        <v>12103.16</v>
      </c>
      <c r="N73">
        <v>2111.5200001210314</v>
      </c>
      <c r="O73" s="1">
        <f>IF(Query2[[#This Row],[ranking]]=1,1,O72+1)</f>
        <v>2</v>
      </c>
    </row>
    <row r="74" spans="1:15" x14ac:dyDescent="0.3">
      <c r="A74" t="str">
        <f>IF(Query2[[#This Row],[ranking]]=1,Query2[[#This Row],[concatenationcolumn]],IF(Query2[[#This Row],[ranking]]=D73+1,Query2[[#This Row],[concatenationcolumn]],_xlfn.CONCAT(Query2[[#This Row],[wh]],"-",Query2[[#This Row],[Column1]])))</f>
        <v>7-3</v>
      </c>
      <c r="B74" s="1" t="s">
        <v>142</v>
      </c>
      <c r="C74">
        <v>7</v>
      </c>
      <c r="D74">
        <v>3</v>
      </c>
      <c r="E74" s="1" t="s">
        <v>387</v>
      </c>
      <c r="F74" s="1" t="s">
        <v>22</v>
      </c>
      <c r="G74" s="3">
        <v>44000</v>
      </c>
      <c r="H74">
        <v>5727.19</v>
      </c>
      <c r="I74">
        <v>30</v>
      </c>
      <c r="J74">
        <v>163</v>
      </c>
      <c r="K74">
        <v>0</v>
      </c>
      <c r="L74">
        <v>1034.75</v>
      </c>
      <c r="M74">
        <v>4692.4399999999996</v>
      </c>
      <c r="N74">
        <v>1034.7500000469245</v>
      </c>
      <c r="O74" s="1">
        <f>IF(Query2[[#This Row],[ranking]]=1,1,O73+1)</f>
        <v>3</v>
      </c>
    </row>
    <row r="75" spans="1:15" x14ac:dyDescent="0.3">
      <c r="A75" t="str">
        <f>IF(Query2[[#This Row],[ranking]]=1,Query2[[#This Row],[concatenationcolumn]],IF(Query2[[#This Row],[ranking]]=D74+1,Query2[[#This Row],[concatenationcolumn]],_xlfn.CONCAT(Query2[[#This Row],[wh]],"-",Query2[[#This Row],[Column1]])))</f>
        <v>7-4</v>
      </c>
      <c r="B75" s="1" t="s">
        <v>143</v>
      </c>
      <c r="C75">
        <v>7</v>
      </c>
      <c r="D75">
        <v>4</v>
      </c>
      <c r="E75" s="1" t="s">
        <v>388</v>
      </c>
      <c r="F75" s="1" t="s">
        <v>37</v>
      </c>
      <c r="G75" s="3">
        <v>44000</v>
      </c>
      <c r="H75">
        <v>6645.32</v>
      </c>
      <c r="I75">
        <v>22</v>
      </c>
      <c r="J75">
        <v>500</v>
      </c>
      <c r="K75">
        <v>0</v>
      </c>
      <c r="L75">
        <v>839.64</v>
      </c>
      <c r="M75">
        <v>5805.68</v>
      </c>
      <c r="N75">
        <v>839.64000005805678</v>
      </c>
      <c r="O75" s="1">
        <f>IF(Query2[[#This Row],[ranking]]=1,1,O74+1)</f>
        <v>4</v>
      </c>
    </row>
    <row r="76" spans="1:15" x14ac:dyDescent="0.3">
      <c r="A76" t="str">
        <f>IF(Query2[[#This Row],[ranking]]=1,Query2[[#This Row],[concatenationcolumn]],IF(Query2[[#This Row],[ranking]]=D75+1,Query2[[#This Row],[concatenationcolumn]],_xlfn.CONCAT(Query2[[#This Row],[wh]],"-",Query2[[#This Row],[Column1]])))</f>
        <v>7-5</v>
      </c>
      <c r="B76" s="1" t="s">
        <v>144</v>
      </c>
      <c r="C76">
        <v>7</v>
      </c>
      <c r="D76">
        <v>5</v>
      </c>
      <c r="E76" s="1" t="s">
        <v>389</v>
      </c>
      <c r="F76" s="1" t="s">
        <v>39</v>
      </c>
      <c r="G76" s="3">
        <v>44000</v>
      </c>
      <c r="H76">
        <v>19793.2</v>
      </c>
      <c r="I76">
        <v>25</v>
      </c>
      <c r="J76">
        <v>786</v>
      </c>
      <c r="K76">
        <v>0</v>
      </c>
      <c r="L76">
        <v>428.72</v>
      </c>
      <c r="M76">
        <v>19364.48</v>
      </c>
      <c r="N76">
        <v>428.72000019364481</v>
      </c>
      <c r="O76" s="1">
        <f>IF(Query2[[#This Row],[ranking]]=1,1,O75+1)</f>
        <v>5</v>
      </c>
    </row>
    <row r="77" spans="1:15" x14ac:dyDescent="0.3">
      <c r="A77" t="str">
        <f>IF(Query2[[#This Row],[ranking]]=1,Query2[[#This Row],[concatenationcolumn]],IF(Query2[[#This Row],[ranking]]=D76+1,Query2[[#This Row],[concatenationcolumn]],_xlfn.CONCAT(Query2[[#This Row],[wh]],"-",Query2[[#This Row],[Column1]])))</f>
        <v>7-6</v>
      </c>
      <c r="B77" s="1" t="s">
        <v>145</v>
      </c>
      <c r="C77">
        <v>7</v>
      </c>
      <c r="D77">
        <v>6</v>
      </c>
      <c r="E77" s="1" t="s">
        <v>343</v>
      </c>
      <c r="F77" s="1" t="s">
        <v>344</v>
      </c>
      <c r="G77" s="3">
        <v>43999</v>
      </c>
      <c r="H77">
        <v>36699.26</v>
      </c>
      <c r="I77">
        <v>24</v>
      </c>
      <c r="J77">
        <v>666</v>
      </c>
      <c r="K77">
        <v>0</v>
      </c>
      <c r="L77">
        <v>396.56</v>
      </c>
      <c r="M77">
        <v>36302.699999999997</v>
      </c>
      <c r="N77">
        <v>396.56000036302697</v>
      </c>
      <c r="O77" s="1">
        <f>IF(Query2[[#This Row],[ranking]]=1,1,O76+1)</f>
        <v>6</v>
      </c>
    </row>
    <row r="78" spans="1:15" x14ac:dyDescent="0.3">
      <c r="A78" t="str">
        <f>IF(Query2[[#This Row],[ranking]]=1,Query2[[#This Row],[concatenationcolumn]],IF(Query2[[#This Row],[ranking]]=D77+1,Query2[[#This Row],[concatenationcolumn]],_xlfn.CONCAT(Query2[[#This Row],[wh]],"-",Query2[[#This Row],[Column1]])))</f>
        <v>7-7</v>
      </c>
      <c r="B78" s="1" t="s">
        <v>240</v>
      </c>
      <c r="C78">
        <v>7</v>
      </c>
      <c r="D78">
        <v>7</v>
      </c>
      <c r="E78" s="1" t="s">
        <v>390</v>
      </c>
      <c r="F78" s="1" t="s">
        <v>20</v>
      </c>
      <c r="G78" s="3">
        <v>44000</v>
      </c>
      <c r="H78">
        <v>2874.92</v>
      </c>
      <c r="I78">
        <v>10</v>
      </c>
      <c r="J78">
        <v>220</v>
      </c>
      <c r="K78">
        <v>0</v>
      </c>
      <c r="L78">
        <v>177.56</v>
      </c>
      <c r="M78">
        <v>2697.36</v>
      </c>
      <c r="N78">
        <v>177.5600000269736</v>
      </c>
      <c r="O78" s="1">
        <f>IF(Query2[[#This Row],[ranking]]=1,1,O77+1)</f>
        <v>7</v>
      </c>
    </row>
    <row r="79" spans="1:15" x14ac:dyDescent="0.3">
      <c r="A79" t="str">
        <f>IF(Query2[[#This Row],[ranking]]=1,Query2[[#This Row],[concatenationcolumn]],IF(Query2[[#This Row],[ranking]]=D78+1,Query2[[#This Row],[concatenationcolumn]],_xlfn.CONCAT(Query2[[#This Row],[wh]],"-",Query2[[#This Row],[Column1]])))</f>
        <v>7-8</v>
      </c>
      <c r="B79" s="1" t="s">
        <v>241</v>
      </c>
      <c r="C79">
        <v>7</v>
      </c>
      <c r="D79">
        <v>8</v>
      </c>
      <c r="E79" s="1" t="s">
        <v>345</v>
      </c>
      <c r="F79" s="1" t="s">
        <v>18</v>
      </c>
      <c r="G79" s="3">
        <v>43999</v>
      </c>
      <c r="H79">
        <v>64.180000000000007</v>
      </c>
      <c r="I79">
        <v>2</v>
      </c>
      <c r="J79">
        <v>8</v>
      </c>
      <c r="K79">
        <v>0</v>
      </c>
      <c r="L79">
        <v>49.98</v>
      </c>
      <c r="M79">
        <v>14.2</v>
      </c>
      <c r="N79">
        <v>49.980000000141999</v>
      </c>
      <c r="O79" s="1">
        <f>IF(Query2[[#This Row],[ranking]]=1,1,O78+1)</f>
        <v>8</v>
      </c>
    </row>
    <row r="80" spans="1:15" x14ac:dyDescent="0.3">
      <c r="A80" t="str">
        <f>IF(Query2[[#This Row],[ranking]]=1,Query2[[#This Row],[concatenationcolumn]],IF(Query2[[#This Row],[ranking]]=D79+1,Query2[[#This Row],[concatenationcolumn]],_xlfn.CONCAT(Query2[[#This Row],[wh]],"-",Query2[[#This Row],[Column1]])))</f>
        <v>14-1</v>
      </c>
      <c r="B80" s="1" t="s">
        <v>146</v>
      </c>
      <c r="C80">
        <v>14</v>
      </c>
      <c r="D80">
        <v>1</v>
      </c>
      <c r="E80" s="1" t="s">
        <v>280</v>
      </c>
      <c r="F80" s="1" t="s">
        <v>25</v>
      </c>
      <c r="G80" s="3">
        <v>43998</v>
      </c>
      <c r="H80">
        <v>23926.12</v>
      </c>
      <c r="I80">
        <v>38</v>
      </c>
      <c r="J80">
        <v>547</v>
      </c>
      <c r="K80">
        <v>0</v>
      </c>
      <c r="L80">
        <v>5899.1</v>
      </c>
      <c r="M80">
        <v>18027.02</v>
      </c>
      <c r="N80">
        <v>5899.1000001802704</v>
      </c>
      <c r="O80" s="1">
        <f>IF(Query2[[#This Row],[ranking]]=1,1,O79+1)</f>
        <v>1</v>
      </c>
    </row>
    <row r="81" spans="1:15" x14ac:dyDescent="0.3">
      <c r="A81" t="str">
        <f>IF(Query2[[#This Row],[ranking]]=1,Query2[[#This Row],[concatenationcolumn]],IF(Query2[[#This Row],[ranking]]=D80+1,Query2[[#This Row],[concatenationcolumn]],_xlfn.CONCAT(Query2[[#This Row],[wh]],"-",Query2[[#This Row],[Column1]])))</f>
        <v>14-2</v>
      </c>
      <c r="B81" s="1" t="s">
        <v>147</v>
      </c>
      <c r="C81">
        <v>14</v>
      </c>
      <c r="D81">
        <v>2</v>
      </c>
      <c r="E81" s="1" t="s">
        <v>247</v>
      </c>
      <c r="F81" s="1" t="s">
        <v>18</v>
      </c>
      <c r="G81" s="3">
        <v>43997</v>
      </c>
      <c r="H81">
        <v>7878.65</v>
      </c>
      <c r="I81">
        <v>48</v>
      </c>
      <c r="J81">
        <v>664</v>
      </c>
      <c r="K81">
        <v>0</v>
      </c>
      <c r="L81">
        <v>4487.3900000000003</v>
      </c>
      <c r="M81">
        <v>3391.26</v>
      </c>
      <c r="N81">
        <v>4487.3900000339127</v>
      </c>
      <c r="O81" s="1">
        <f>IF(Query2[[#This Row],[ranking]]=1,1,O80+1)</f>
        <v>2</v>
      </c>
    </row>
    <row r="82" spans="1:15" x14ac:dyDescent="0.3">
      <c r="A82" t="str">
        <f>IF(Query2[[#This Row],[ranking]]=1,Query2[[#This Row],[concatenationcolumn]],IF(Query2[[#This Row],[ranking]]=D81+1,Query2[[#This Row],[concatenationcolumn]],_xlfn.CONCAT(Query2[[#This Row],[wh]],"-",Query2[[#This Row],[Column1]])))</f>
        <v>14-3</v>
      </c>
      <c r="B82" s="1" t="s">
        <v>149</v>
      </c>
      <c r="C82">
        <v>14</v>
      </c>
      <c r="D82">
        <v>3</v>
      </c>
      <c r="E82" s="1" t="s">
        <v>281</v>
      </c>
      <c r="F82" s="1" t="s">
        <v>24</v>
      </c>
      <c r="G82" s="3">
        <v>43998</v>
      </c>
      <c r="H82">
        <v>32757.18</v>
      </c>
      <c r="I82">
        <v>105</v>
      </c>
      <c r="J82">
        <v>1586</v>
      </c>
      <c r="K82">
        <v>0</v>
      </c>
      <c r="L82">
        <v>4195.59</v>
      </c>
      <c r="M82">
        <v>28561.59</v>
      </c>
      <c r="N82">
        <v>4195.590000285616</v>
      </c>
      <c r="O82" s="1">
        <f>IF(Query2[[#This Row],[ranking]]=1,1,O81+1)</f>
        <v>3</v>
      </c>
    </row>
    <row r="83" spans="1:15" x14ac:dyDescent="0.3">
      <c r="A83" t="str">
        <f>IF(Query2[[#This Row],[ranking]]=1,Query2[[#This Row],[concatenationcolumn]],IF(Query2[[#This Row],[ranking]]=D82+1,Query2[[#This Row],[concatenationcolumn]],_xlfn.CONCAT(Query2[[#This Row],[wh]],"-",Query2[[#This Row],[Column1]])))</f>
        <v>14-4</v>
      </c>
      <c r="B83" s="1" t="s">
        <v>150</v>
      </c>
      <c r="C83">
        <v>14</v>
      </c>
      <c r="D83">
        <v>4</v>
      </c>
      <c r="E83" s="1" t="s">
        <v>244</v>
      </c>
      <c r="F83" s="1" t="s">
        <v>18</v>
      </c>
      <c r="G83" s="3">
        <v>43997</v>
      </c>
      <c r="H83">
        <v>4312.0600000000004</v>
      </c>
      <c r="I83">
        <v>18</v>
      </c>
      <c r="J83">
        <v>310</v>
      </c>
      <c r="K83">
        <v>0</v>
      </c>
      <c r="L83">
        <v>3747.82</v>
      </c>
      <c r="M83">
        <v>564.24</v>
      </c>
      <c r="N83">
        <v>3747.8200000056422</v>
      </c>
      <c r="O83" s="1">
        <f>IF(Query2[[#This Row],[ranking]]=1,1,O82+1)</f>
        <v>4</v>
      </c>
    </row>
    <row r="84" spans="1:15" x14ac:dyDescent="0.3">
      <c r="A84" t="str">
        <f>IF(Query2[[#This Row],[ranking]]=1,Query2[[#This Row],[concatenationcolumn]],IF(Query2[[#This Row],[ranking]]=D83+1,Query2[[#This Row],[concatenationcolumn]],_xlfn.CONCAT(Query2[[#This Row],[wh]],"-",Query2[[#This Row],[Column1]])))</f>
        <v>14-5</v>
      </c>
      <c r="B84" s="1" t="s">
        <v>151</v>
      </c>
      <c r="C84">
        <v>14</v>
      </c>
      <c r="D84">
        <v>5</v>
      </c>
      <c r="E84" s="1" t="s">
        <v>248</v>
      </c>
      <c r="F84" s="1" t="s">
        <v>18</v>
      </c>
      <c r="G84" s="3">
        <v>43997</v>
      </c>
      <c r="H84">
        <v>4022.6</v>
      </c>
      <c r="I84">
        <v>14</v>
      </c>
      <c r="J84">
        <v>548</v>
      </c>
      <c r="K84">
        <v>0</v>
      </c>
      <c r="L84">
        <v>3528.56</v>
      </c>
      <c r="M84">
        <v>494.04</v>
      </c>
      <c r="N84">
        <v>3528.5600000049403</v>
      </c>
      <c r="O84" s="1">
        <f>IF(Query2[[#This Row],[ranking]]=1,1,O83+1)</f>
        <v>5</v>
      </c>
    </row>
    <row r="85" spans="1:15" x14ac:dyDescent="0.3">
      <c r="A85" t="str">
        <f>IF(Query2[[#This Row],[ranking]]=1,Query2[[#This Row],[concatenationcolumn]],IF(Query2[[#This Row],[ranking]]=D84+1,Query2[[#This Row],[concatenationcolumn]],_xlfn.CONCAT(Query2[[#This Row],[wh]],"-",Query2[[#This Row],[Column1]])))</f>
        <v>14-6</v>
      </c>
      <c r="B85" s="1" t="s">
        <v>152</v>
      </c>
      <c r="C85">
        <v>14</v>
      </c>
      <c r="D85">
        <v>6</v>
      </c>
      <c r="E85" s="1" t="s">
        <v>282</v>
      </c>
      <c r="F85" s="1" t="s">
        <v>24</v>
      </c>
      <c r="G85" s="3">
        <v>43998</v>
      </c>
      <c r="H85">
        <v>14517.34</v>
      </c>
      <c r="I85">
        <v>27</v>
      </c>
      <c r="J85">
        <v>850</v>
      </c>
      <c r="K85">
        <v>0</v>
      </c>
      <c r="L85">
        <v>3188.82</v>
      </c>
      <c r="M85">
        <v>11328.52</v>
      </c>
      <c r="N85">
        <v>3188.820000113285</v>
      </c>
      <c r="O85" s="1">
        <f>IF(Query2[[#This Row],[ranking]]=1,1,O84+1)</f>
        <v>6</v>
      </c>
    </row>
    <row r="86" spans="1:15" x14ac:dyDescent="0.3">
      <c r="A86" t="str">
        <f>IF(Query2[[#This Row],[ranking]]=1,Query2[[#This Row],[concatenationcolumn]],IF(Query2[[#This Row],[ranking]]=D85+1,Query2[[#This Row],[concatenationcolumn]],_xlfn.CONCAT(Query2[[#This Row],[wh]],"-",Query2[[#This Row],[Column1]])))</f>
        <v>14-7</v>
      </c>
      <c r="B86" s="1" t="s">
        <v>153</v>
      </c>
      <c r="C86">
        <v>14</v>
      </c>
      <c r="D86">
        <v>7</v>
      </c>
      <c r="E86" s="1" t="s">
        <v>284</v>
      </c>
      <c r="F86" s="1" t="s">
        <v>20</v>
      </c>
      <c r="G86" s="3">
        <v>43998</v>
      </c>
      <c r="H86">
        <v>2146</v>
      </c>
      <c r="I86">
        <v>4</v>
      </c>
      <c r="J86">
        <v>160</v>
      </c>
      <c r="K86">
        <v>0</v>
      </c>
      <c r="L86">
        <v>2146</v>
      </c>
      <c r="M86">
        <v>0</v>
      </c>
      <c r="N86">
        <v>2146</v>
      </c>
      <c r="O86" s="1">
        <f>IF(Query2[[#This Row],[ranking]]=1,1,O85+1)</f>
        <v>7</v>
      </c>
    </row>
    <row r="87" spans="1:15" x14ac:dyDescent="0.3">
      <c r="A87" t="str">
        <f>IF(Query2[[#This Row],[ranking]]=1,Query2[[#This Row],[concatenationcolumn]],IF(Query2[[#This Row],[ranking]]=D86+1,Query2[[#This Row],[concatenationcolumn]],_xlfn.CONCAT(Query2[[#This Row],[wh]],"-",Query2[[#This Row],[Column1]])))</f>
        <v>14-8</v>
      </c>
      <c r="B87" s="1" t="s">
        <v>154</v>
      </c>
      <c r="C87">
        <v>14</v>
      </c>
      <c r="D87">
        <v>8</v>
      </c>
      <c r="E87" s="1" t="s">
        <v>243</v>
      </c>
      <c r="F87" s="1" t="s">
        <v>32</v>
      </c>
      <c r="G87" s="3">
        <v>43997</v>
      </c>
      <c r="H87">
        <v>10500.79</v>
      </c>
      <c r="I87">
        <v>54</v>
      </c>
      <c r="J87">
        <v>220</v>
      </c>
      <c r="K87">
        <v>0</v>
      </c>
      <c r="L87">
        <v>2035.94</v>
      </c>
      <c r="M87">
        <v>8464.85</v>
      </c>
      <c r="N87">
        <v>2035.9400000846483</v>
      </c>
      <c r="O87" s="1">
        <f>IF(Query2[[#This Row],[ranking]]=1,1,O86+1)</f>
        <v>8</v>
      </c>
    </row>
    <row r="88" spans="1:15" x14ac:dyDescent="0.3">
      <c r="A88" t="str">
        <f>IF(Query2[[#This Row],[ranking]]=1,Query2[[#This Row],[concatenationcolumn]],IF(Query2[[#This Row],[ranking]]=D87+1,Query2[[#This Row],[concatenationcolumn]],_xlfn.CONCAT(Query2[[#This Row],[wh]],"-",Query2[[#This Row],[Column1]])))</f>
        <v>14-9</v>
      </c>
      <c r="B88" s="1" t="s">
        <v>155</v>
      </c>
      <c r="C88">
        <v>14</v>
      </c>
      <c r="D88">
        <v>9</v>
      </c>
      <c r="E88" s="1" t="s">
        <v>391</v>
      </c>
      <c r="F88" s="1" t="s">
        <v>41</v>
      </c>
      <c r="G88" s="3">
        <v>44000</v>
      </c>
      <c r="H88">
        <v>1716.68</v>
      </c>
      <c r="I88">
        <v>18</v>
      </c>
      <c r="J88">
        <v>125</v>
      </c>
      <c r="K88">
        <v>0</v>
      </c>
      <c r="L88">
        <v>681.77</v>
      </c>
      <c r="M88">
        <v>1034.9100000000001</v>
      </c>
      <c r="N88">
        <v>681.77000001034912</v>
      </c>
      <c r="O88" s="1">
        <f>IF(Query2[[#This Row],[ranking]]=1,1,O87+1)</f>
        <v>9</v>
      </c>
    </row>
    <row r="89" spans="1:15" x14ac:dyDescent="0.3">
      <c r="A89" t="str">
        <f>IF(Query2[[#This Row],[ranking]]=1,Query2[[#This Row],[concatenationcolumn]],IF(Query2[[#This Row],[ranking]]=D88+1,Query2[[#This Row],[concatenationcolumn]],_xlfn.CONCAT(Query2[[#This Row],[wh]],"-",Query2[[#This Row],[Column1]])))</f>
        <v>14-10</v>
      </c>
      <c r="B89" s="1" t="s">
        <v>283</v>
      </c>
      <c r="C89">
        <v>14</v>
      </c>
      <c r="D89">
        <v>10</v>
      </c>
      <c r="E89" s="1" t="s">
        <v>246</v>
      </c>
      <c r="F89" s="1" t="s">
        <v>32</v>
      </c>
      <c r="G89" s="3">
        <v>43997</v>
      </c>
      <c r="H89">
        <v>1576.8</v>
      </c>
      <c r="I89">
        <v>3</v>
      </c>
      <c r="J89">
        <v>36</v>
      </c>
      <c r="K89">
        <v>0</v>
      </c>
      <c r="L89">
        <v>486.48</v>
      </c>
      <c r="M89">
        <v>1090.32</v>
      </c>
      <c r="N89">
        <v>486.48000001090321</v>
      </c>
      <c r="O89" s="1">
        <f>IF(Query2[[#This Row],[ranking]]=1,1,O88+1)</f>
        <v>10</v>
      </c>
    </row>
    <row r="90" spans="1:15" x14ac:dyDescent="0.3">
      <c r="A90" t="str">
        <f>IF(Query2[[#This Row],[ranking]]=1,Query2[[#This Row],[concatenationcolumn]],IF(Query2[[#This Row],[ranking]]=D89+1,Query2[[#This Row],[concatenationcolumn]],_xlfn.CONCAT(Query2[[#This Row],[wh]],"-",Query2[[#This Row],[Column1]])))</f>
        <v>14-11</v>
      </c>
      <c r="B90" s="1" t="s">
        <v>285</v>
      </c>
      <c r="C90">
        <v>14</v>
      </c>
      <c r="D90">
        <v>11</v>
      </c>
      <c r="E90" s="1" t="s">
        <v>249</v>
      </c>
      <c r="F90" s="1" t="s">
        <v>156</v>
      </c>
      <c r="G90" s="3">
        <v>43997</v>
      </c>
      <c r="H90">
        <v>15342.16</v>
      </c>
      <c r="I90">
        <v>28</v>
      </c>
      <c r="J90">
        <v>742</v>
      </c>
      <c r="K90">
        <v>0</v>
      </c>
      <c r="L90">
        <v>383.58</v>
      </c>
      <c r="M90">
        <v>14958.58</v>
      </c>
      <c r="N90">
        <v>383.58000014958583</v>
      </c>
      <c r="O90" s="1">
        <f>IF(Query2[[#This Row],[ranking]]=1,1,O89+1)</f>
        <v>11</v>
      </c>
    </row>
    <row r="91" spans="1:15" x14ac:dyDescent="0.3">
      <c r="A91" t="str">
        <f>IF(Query2[[#This Row],[ranking]]=1,Query2[[#This Row],[concatenationcolumn]],IF(Query2[[#This Row],[ranking]]=D90+1,Query2[[#This Row],[concatenationcolumn]],_xlfn.CONCAT(Query2[[#This Row],[wh]],"-",Query2[[#This Row],[Column1]])))</f>
        <v>14-12</v>
      </c>
      <c r="B91" s="1" t="s">
        <v>286</v>
      </c>
      <c r="C91">
        <v>14</v>
      </c>
      <c r="D91">
        <v>12</v>
      </c>
      <c r="E91" s="1" t="s">
        <v>245</v>
      </c>
      <c r="F91" s="1" t="s">
        <v>25</v>
      </c>
      <c r="G91" s="3">
        <v>43997</v>
      </c>
      <c r="H91">
        <v>2240.9499999999998</v>
      </c>
      <c r="I91">
        <v>16</v>
      </c>
      <c r="J91">
        <v>96</v>
      </c>
      <c r="K91">
        <v>0</v>
      </c>
      <c r="L91">
        <v>171.84</v>
      </c>
      <c r="M91">
        <v>2069.11</v>
      </c>
      <c r="N91">
        <v>171.84000002069109</v>
      </c>
      <c r="O91" s="1">
        <f>IF(Query2[[#This Row],[ranking]]=1,1,O90+1)</f>
        <v>12</v>
      </c>
    </row>
    <row r="92" spans="1:15" x14ac:dyDescent="0.3">
      <c r="A92" t="str">
        <f>IF(Query2[[#This Row],[ranking]]=1,Query2[[#This Row],[concatenationcolumn]],IF(Query2[[#This Row],[ranking]]=D91+1,Query2[[#This Row],[concatenationcolumn]],_xlfn.CONCAT(Query2[[#This Row],[wh]],"-",Query2[[#This Row],[Column1]])))</f>
        <v>14-13</v>
      </c>
      <c r="B92" s="1" t="s">
        <v>287</v>
      </c>
      <c r="C92">
        <v>14</v>
      </c>
      <c r="D92">
        <v>13</v>
      </c>
      <c r="E92" s="1" t="s">
        <v>392</v>
      </c>
      <c r="F92" s="1" t="s">
        <v>35</v>
      </c>
      <c r="G92" s="3">
        <v>44000</v>
      </c>
      <c r="H92">
        <v>1667.3</v>
      </c>
      <c r="I92">
        <v>4</v>
      </c>
      <c r="J92">
        <v>25</v>
      </c>
      <c r="K92">
        <v>0</v>
      </c>
      <c r="L92">
        <v>99.6</v>
      </c>
      <c r="M92">
        <v>1567.7</v>
      </c>
      <c r="N92">
        <v>99.600000015676997</v>
      </c>
      <c r="O92" s="1">
        <f>IF(Query2[[#This Row],[ranking]]=1,1,O91+1)</f>
        <v>13</v>
      </c>
    </row>
    <row r="93" spans="1:15" x14ac:dyDescent="0.3">
      <c r="A93" t="str">
        <f>IF(Query2[[#This Row],[ranking]]=1,Query2[[#This Row],[concatenationcolumn]],IF(Query2[[#This Row],[ranking]]=D92+1,Query2[[#This Row],[concatenationcolumn]],_xlfn.CONCAT(Query2[[#This Row],[wh]],"-",Query2[[#This Row],[Column1]])))</f>
        <v>14-14</v>
      </c>
      <c r="B93" s="1" t="s">
        <v>290</v>
      </c>
      <c r="C93">
        <v>14</v>
      </c>
      <c r="D93">
        <v>14</v>
      </c>
      <c r="E93" s="1" t="s">
        <v>288</v>
      </c>
      <c r="F93" s="1" t="s">
        <v>289</v>
      </c>
      <c r="G93" s="3">
        <v>43998</v>
      </c>
      <c r="H93">
        <v>925.5</v>
      </c>
      <c r="I93">
        <v>1</v>
      </c>
      <c r="J93">
        <v>30</v>
      </c>
      <c r="K93">
        <v>0</v>
      </c>
      <c r="L93">
        <v>0</v>
      </c>
      <c r="M93">
        <v>925.5</v>
      </c>
      <c r="N93">
        <v>9.2550000000000008E-9</v>
      </c>
      <c r="O93" s="1">
        <f>IF(Query2[[#This Row],[ranking]]=1,1,O92+1)</f>
        <v>14</v>
      </c>
    </row>
    <row r="94" spans="1:15" x14ac:dyDescent="0.3">
      <c r="A94" t="str">
        <f>IF(Query2[[#This Row],[ranking]]=1,Query2[[#This Row],[concatenationcolumn]],IF(Query2[[#This Row],[ranking]]=D93+1,Query2[[#This Row],[concatenationcolumn]],_xlfn.CONCAT(Query2[[#This Row],[wh]],"-",Query2[[#This Row],[Column1]])))</f>
        <v>14-15</v>
      </c>
      <c r="B94" s="1" t="s">
        <v>393</v>
      </c>
      <c r="C94">
        <v>14</v>
      </c>
      <c r="D94">
        <v>15</v>
      </c>
      <c r="E94" s="1" t="s">
        <v>157</v>
      </c>
      <c r="F94" s="1" t="s">
        <v>30</v>
      </c>
      <c r="G94" s="3">
        <v>43997</v>
      </c>
      <c r="H94">
        <v>471.96</v>
      </c>
      <c r="I94">
        <v>1</v>
      </c>
      <c r="J94">
        <v>18</v>
      </c>
      <c r="K94">
        <v>0</v>
      </c>
      <c r="L94">
        <v>0</v>
      </c>
      <c r="M94">
        <v>471.96</v>
      </c>
      <c r="N94">
        <v>4.7196000000000001E-9</v>
      </c>
      <c r="O94" s="1">
        <f>IF(Query2[[#This Row],[ranking]]=1,1,O93+1)</f>
        <v>15</v>
      </c>
    </row>
    <row r="95" spans="1:15" x14ac:dyDescent="0.3">
      <c r="A95" t="str">
        <f>IF(Query2[[#This Row],[ranking]]=1,Query2[[#This Row],[concatenationcolumn]],IF(Query2[[#This Row],[ranking]]=D94+1,Query2[[#This Row],[concatenationcolumn]],_xlfn.CONCAT(Query2[[#This Row],[wh]],"-",Query2[[#This Row],[Column1]])))</f>
        <v>14-16</v>
      </c>
      <c r="B95" s="1" t="s">
        <v>394</v>
      </c>
      <c r="C95">
        <v>14</v>
      </c>
      <c r="D95">
        <v>16</v>
      </c>
      <c r="E95" s="1" t="s">
        <v>395</v>
      </c>
      <c r="F95" s="1" t="s">
        <v>41</v>
      </c>
      <c r="G95" s="3">
        <v>44000</v>
      </c>
      <c r="H95">
        <v>133.22</v>
      </c>
      <c r="I95">
        <v>1</v>
      </c>
      <c r="J95">
        <v>1</v>
      </c>
      <c r="K95">
        <v>0</v>
      </c>
      <c r="L95">
        <v>0</v>
      </c>
      <c r="M95">
        <v>133.22</v>
      </c>
      <c r="N95">
        <v>1.3322E-9</v>
      </c>
      <c r="O95" s="1">
        <f>IF(Query2[[#This Row],[ranking]]=1,1,O94+1)</f>
        <v>16</v>
      </c>
    </row>
    <row r="96" spans="1:15" x14ac:dyDescent="0.3">
      <c r="A96" t="str">
        <f>IF(Query2[[#This Row],[ranking]]=1,Query2[[#This Row],[concatenationcolumn]],IF(Query2[[#This Row],[ranking]]=D95+1,Query2[[#This Row],[concatenationcolumn]],_xlfn.CONCAT(Query2[[#This Row],[wh]],"-",Query2[[#This Row],[Column1]])))</f>
        <v>15-1</v>
      </c>
      <c r="B96" s="1" t="s">
        <v>159</v>
      </c>
      <c r="C96">
        <v>15</v>
      </c>
      <c r="D96">
        <v>1</v>
      </c>
      <c r="E96" s="1" t="s">
        <v>40</v>
      </c>
      <c r="F96" s="1" t="s">
        <v>38</v>
      </c>
      <c r="G96" s="3">
        <v>43970</v>
      </c>
      <c r="H96">
        <v>6447.76</v>
      </c>
      <c r="I96">
        <v>532</v>
      </c>
      <c r="J96">
        <v>1608</v>
      </c>
      <c r="K96">
        <v>1823.04</v>
      </c>
      <c r="L96">
        <v>4234.82</v>
      </c>
      <c r="M96">
        <v>389.9</v>
      </c>
      <c r="N96">
        <v>5146.3400000038991</v>
      </c>
      <c r="O96" s="1">
        <f>IF(Query2[[#This Row],[ranking]]=1,1,O95+1)</f>
        <v>1</v>
      </c>
    </row>
    <row r="97" spans="1:15" x14ac:dyDescent="0.3">
      <c r="A97" t="str">
        <f>IF(Query2[[#This Row],[ranking]]=1,Query2[[#This Row],[concatenationcolumn]],IF(Query2[[#This Row],[ranking]]=D96+1,Query2[[#This Row],[concatenationcolumn]],_xlfn.CONCAT(Query2[[#This Row],[wh]],"-",Query2[[#This Row],[Column1]])))</f>
        <v>15-2</v>
      </c>
      <c r="B97" s="1" t="s">
        <v>160</v>
      </c>
      <c r="C97">
        <v>15</v>
      </c>
      <c r="D97">
        <v>2</v>
      </c>
      <c r="E97" s="1" t="s">
        <v>396</v>
      </c>
      <c r="F97" s="1" t="s">
        <v>232</v>
      </c>
      <c r="G97" s="3">
        <v>44000</v>
      </c>
      <c r="H97">
        <v>7183.13</v>
      </c>
      <c r="I97">
        <v>24</v>
      </c>
      <c r="J97">
        <v>2114</v>
      </c>
      <c r="K97">
        <v>0</v>
      </c>
      <c r="L97">
        <v>4736.1499999999996</v>
      </c>
      <c r="M97">
        <v>2446.98</v>
      </c>
      <c r="N97">
        <v>4736.1500000244696</v>
      </c>
      <c r="O97" s="1">
        <f>IF(Query2[[#This Row],[ranking]]=1,1,O96+1)</f>
        <v>2</v>
      </c>
    </row>
    <row r="98" spans="1:15" x14ac:dyDescent="0.3">
      <c r="A98" t="str">
        <f>IF(Query2[[#This Row],[ranking]]=1,Query2[[#This Row],[concatenationcolumn]],IF(Query2[[#This Row],[ranking]]=D97+1,Query2[[#This Row],[concatenationcolumn]],_xlfn.CONCAT(Query2[[#This Row],[wh]],"-",Query2[[#This Row],[Column1]])))</f>
        <v>15-3</v>
      </c>
      <c r="B98" s="1" t="s">
        <v>161</v>
      </c>
      <c r="C98">
        <v>15</v>
      </c>
      <c r="D98">
        <v>3</v>
      </c>
      <c r="E98" s="1" t="s">
        <v>294</v>
      </c>
      <c r="F98" s="1" t="s">
        <v>30</v>
      </c>
      <c r="G98" s="3">
        <v>43998</v>
      </c>
      <c r="H98">
        <v>5455.59</v>
      </c>
      <c r="I98">
        <v>14</v>
      </c>
      <c r="J98">
        <v>243</v>
      </c>
      <c r="K98">
        <v>0</v>
      </c>
      <c r="L98">
        <v>1270.8800000000001</v>
      </c>
      <c r="M98">
        <v>4184.71</v>
      </c>
      <c r="N98">
        <v>1270.8800000418471</v>
      </c>
      <c r="O98" s="1">
        <f>IF(Query2[[#This Row],[ranking]]=1,1,O97+1)</f>
        <v>3</v>
      </c>
    </row>
    <row r="99" spans="1:15" x14ac:dyDescent="0.3">
      <c r="A99" t="str">
        <f>IF(Query2[[#This Row],[ranking]]=1,Query2[[#This Row],[concatenationcolumn]],IF(Query2[[#This Row],[ranking]]=D98+1,Query2[[#This Row],[concatenationcolumn]],_xlfn.CONCAT(Query2[[#This Row],[wh]],"-",Query2[[#This Row],[Column1]])))</f>
        <v>15-4</v>
      </c>
      <c r="B99" s="1" t="s">
        <v>162</v>
      </c>
      <c r="C99">
        <v>15</v>
      </c>
      <c r="D99">
        <v>4</v>
      </c>
      <c r="E99" s="1" t="s">
        <v>293</v>
      </c>
      <c r="F99" s="1" t="s">
        <v>35</v>
      </c>
      <c r="G99" s="3">
        <v>43998</v>
      </c>
      <c r="H99">
        <v>1518.36</v>
      </c>
      <c r="I99">
        <v>4</v>
      </c>
      <c r="J99">
        <v>78</v>
      </c>
      <c r="K99">
        <v>0</v>
      </c>
      <c r="L99">
        <v>694.8</v>
      </c>
      <c r="M99">
        <v>823.56</v>
      </c>
      <c r="N99">
        <v>694.80000000823566</v>
      </c>
      <c r="O99" s="1">
        <f>IF(Query2[[#This Row],[ranking]]=1,1,O98+1)</f>
        <v>4</v>
      </c>
    </row>
    <row r="100" spans="1:15" x14ac:dyDescent="0.3">
      <c r="A100" t="str">
        <f>IF(Query2[[#This Row],[ranking]]=1,Query2[[#This Row],[concatenationcolumn]],IF(Query2[[#This Row],[ranking]]=D99+1,Query2[[#This Row],[concatenationcolumn]],_xlfn.CONCAT(Query2[[#This Row],[wh]],"-",Query2[[#This Row],[Column1]])))</f>
        <v>15-5</v>
      </c>
      <c r="B100" s="1" t="s">
        <v>291</v>
      </c>
      <c r="C100">
        <v>15</v>
      </c>
      <c r="D100">
        <v>5</v>
      </c>
      <c r="E100" s="1" t="s">
        <v>397</v>
      </c>
      <c r="F100" s="1" t="s">
        <v>36</v>
      </c>
      <c r="G100" s="3">
        <v>44000</v>
      </c>
      <c r="H100">
        <v>6393.16</v>
      </c>
      <c r="I100">
        <v>32</v>
      </c>
      <c r="J100">
        <v>2420</v>
      </c>
      <c r="K100">
        <v>0</v>
      </c>
      <c r="L100">
        <v>213.72</v>
      </c>
      <c r="M100">
        <v>6179.44</v>
      </c>
      <c r="N100">
        <v>213.72000006179439</v>
      </c>
      <c r="O100" s="1">
        <f>IF(Query2[[#This Row],[ranking]]=1,1,O99+1)</f>
        <v>5</v>
      </c>
    </row>
    <row r="101" spans="1:15" x14ac:dyDescent="0.3">
      <c r="A101" t="str">
        <f>IF(Query2[[#This Row],[ranking]]=1,Query2[[#This Row],[concatenationcolumn]],IF(Query2[[#This Row],[ranking]]=D100+1,Query2[[#This Row],[concatenationcolumn]],_xlfn.CONCAT(Query2[[#This Row],[wh]],"-",Query2[[#This Row],[Column1]])))</f>
        <v>15-6</v>
      </c>
      <c r="B101" s="1" t="s">
        <v>292</v>
      </c>
      <c r="C101">
        <v>15</v>
      </c>
      <c r="D101">
        <v>6</v>
      </c>
      <c r="E101" s="1" t="s">
        <v>346</v>
      </c>
      <c r="F101" s="1" t="s">
        <v>35</v>
      </c>
      <c r="G101" s="3">
        <v>43999</v>
      </c>
      <c r="H101">
        <v>1548.11</v>
      </c>
      <c r="I101">
        <v>4</v>
      </c>
      <c r="J101">
        <v>28</v>
      </c>
      <c r="K101">
        <v>0</v>
      </c>
      <c r="L101">
        <v>0</v>
      </c>
      <c r="M101">
        <v>1548.11</v>
      </c>
      <c r="N101">
        <v>1.54811E-8</v>
      </c>
      <c r="O101" s="1">
        <f>IF(Query2[[#This Row],[ranking]]=1,1,O100+1)</f>
        <v>6</v>
      </c>
    </row>
    <row r="102" spans="1:15" x14ac:dyDescent="0.3">
      <c r="A102" t="str">
        <f>IF(Query2[[#This Row],[ranking]]=1,Query2[[#This Row],[concatenationcolumn]],IF(Query2[[#This Row],[ranking]]=D101+1,Query2[[#This Row],[concatenationcolumn]],_xlfn.CONCAT(Query2[[#This Row],[wh]],"-",Query2[[#This Row],[Column1]])))</f>
        <v>20-1</v>
      </c>
      <c r="B102" s="1" t="s">
        <v>163</v>
      </c>
      <c r="C102">
        <v>20</v>
      </c>
      <c r="D102">
        <v>1</v>
      </c>
      <c r="E102" s="1" t="s">
        <v>42</v>
      </c>
      <c r="F102" s="1" t="s">
        <v>38</v>
      </c>
      <c r="G102" s="3">
        <v>43984</v>
      </c>
      <c r="H102">
        <v>9773.66</v>
      </c>
      <c r="I102">
        <v>128</v>
      </c>
      <c r="J102">
        <v>1202</v>
      </c>
      <c r="K102">
        <v>0</v>
      </c>
      <c r="L102">
        <v>9773.66</v>
      </c>
      <c r="M102">
        <v>0</v>
      </c>
      <c r="N102">
        <v>9773.66</v>
      </c>
      <c r="O102" s="1">
        <f>IF(Query2[[#This Row],[ranking]]=1,1,O101+1)</f>
        <v>1</v>
      </c>
    </row>
    <row r="103" spans="1:15" x14ac:dyDescent="0.3">
      <c r="A103" t="str">
        <f>IF(Query2[[#This Row],[ranking]]=1,Query2[[#This Row],[concatenationcolumn]],IF(Query2[[#This Row],[ranking]]=D102+1,Query2[[#This Row],[concatenationcolumn]],_xlfn.CONCAT(Query2[[#This Row],[wh]],"-",Query2[[#This Row],[Column1]])))</f>
        <v>20-2</v>
      </c>
      <c r="B103" s="1" t="s">
        <v>164</v>
      </c>
      <c r="C103">
        <v>20</v>
      </c>
      <c r="D103">
        <v>2</v>
      </c>
      <c r="E103" s="1" t="s">
        <v>43</v>
      </c>
      <c r="F103" s="1" t="s">
        <v>38</v>
      </c>
      <c r="G103" s="3">
        <v>43984</v>
      </c>
      <c r="H103">
        <v>6234.68</v>
      </c>
      <c r="I103">
        <v>476</v>
      </c>
      <c r="J103">
        <v>1594</v>
      </c>
      <c r="K103">
        <v>1782.82</v>
      </c>
      <c r="L103">
        <v>4451.8599999999997</v>
      </c>
      <c r="M103">
        <v>0</v>
      </c>
      <c r="N103">
        <v>5343.27</v>
      </c>
      <c r="O103" s="1">
        <f>IF(Query2[[#This Row],[ranking]]=1,1,O102+1)</f>
        <v>2</v>
      </c>
    </row>
    <row r="104" spans="1:15" x14ac:dyDescent="0.3">
      <c r="A104" t="str">
        <f>IF(Query2[[#This Row],[ranking]]=1,Query2[[#This Row],[concatenationcolumn]],IF(Query2[[#This Row],[ranking]]=D103+1,Query2[[#This Row],[concatenationcolumn]],_xlfn.CONCAT(Query2[[#This Row],[wh]],"-",Query2[[#This Row],[Column1]])))</f>
        <v>22-1</v>
      </c>
      <c r="B104" s="1" t="s">
        <v>165</v>
      </c>
      <c r="C104">
        <v>22</v>
      </c>
      <c r="D104">
        <v>1</v>
      </c>
      <c r="E104" s="1" t="s">
        <v>398</v>
      </c>
      <c r="F104" s="1" t="s">
        <v>260</v>
      </c>
      <c r="G104" s="3">
        <v>44000</v>
      </c>
      <c r="H104">
        <v>1423.84</v>
      </c>
      <c r="I104">
        <v>1</v>
      </c>
      <c r="J104">
        <v>176</v>
      </c>
      <c r="K104">
        <v>0</v>
      </c>
      <c r="L104">
        <v>1423.84</v>
      </c>
      <c r="M104">
        <v>0</v>
      </c>
      <c r="N104">
        <v>1423.84</v>
      </c>
      <c r="O104" s="1">
        <f>IF(Query2[[#This Row],[ranking]]=1,1,O103+1)</f>
        <v>1</v>
      </c>
    </row>
    <row r="105" spans="1:15" x14ac:dyDescent="0.3">
      <c r="A105" t="str">
        <f>IF(Query2[[#This Row],[ranking]]=1,Query2[[#This Row],[concatenationcolumn]],IF(Query2[[#This Row],[ranking]]=D104+1,Query2[[#This Row],[concatenationcolumn]],_xlfn.CONCAT(Query2[[#This Row],[wh]],"-",Query2[[#This Row],[Column1]])))</f>
        <v>22-2</v>
      </c>
      <c r="B105" s="1" t="s">
        <v>295</v>
      </c>
      <c r="C105">
        <v>22</v>
      </c>
      <c r="D105">
        <v>2</v>
      </c>
      <c r="E105" s="1" t="s">
        <v>399</v>
      </c>
      <c r="F105" s="1" t="s">
        <v>227</v>
      </c>
      <c r="G105" s="3">
        <v>44000</v>
      </c>
      <c r="H105">
        <v>494.5</v>
      </c>
      <c r="I105">
        <v>6</v>
      </c>
      <c r="J105">
        <v>52</v>
      </c>
      <c r="K105">
        <v>0</v>
      </c>
      <c r="L105">
        <v>39.840000000000003</v>
      </c>
      <c r="M105">
        <v>454.66</v>
      </c>
      <c r="N105">
        <v>39.840000004546603</v>
      </c>
      <c r="O105" s="1">
        <f>IF(Query2[[#This Row],[ranking]]=1,1,O104+1)</f>
        <v>2</v>
      </c>
    </row>
    <row r="106" spans="1:15" x14ac:dyDescent="0.3">
      <c r="A106" t="str">
        <f>IF(Query2[[#This Row],[ranking]]=1,Query2[[#This Row],[concatenationcolumn]],IF(Query2[[#This Row],[ranking]]=D105+1,Query2[[#This Row],[concatenationcolumn]],_xlfn.CONCAT(Query2[[#This Row],[wh]],"-",Query2[[#This Row],[Column1]])))</f>
        <v>22-3</v>
      </c>
      <c r="B106" s="1" t="s">
        <v>347</v>
      </c>
      <c r="C106">
        <v>22</v>
      </c>
      <c r="D106">
        <v>3</v>
      </c>
      <c r="E106" s="1" t="s">
        <v>400</v>
      </c>
      <c r="F106" s="1" t="s">
        <v>29</v>
      </c>
      <c r="G106" s="3">
        <v>44000</v>
      </c>
      <c r="H106">
        <v>81.84</v>
      </c>
      <c r="I106">
        <v>1</v>
      </c>
      <c r="J106">
        <v>12</v>
      </c>
      <c r="K106">
        <v>0</v>
      </c>
      <c r="L106">
        <v>0</v>
      </c>
      <c r="M106">
        <v>81.84</v>
      </c>
      <c r="N106">
        <v>8.1839999999999999E-10</v>
      </c>
      <c r="O106" s="1">
        <f>IF(Query2[[#This Row],[ranking]]=1,1,O105+1)</f>
        <v>3</v>
      </c>
    </row>
    <row r="107" spans="1:15" x14ac:dyDescent="0.3">
      <c r="A107" t="str">
        <f>IF(Query2[[#This Row],[ranking]]=1,Query2[[#This Row],[concatenationcolumn]],IF(Query2[[#This Row],[ranking]]=D106+1,Query2[[#This Row],[concatenationcolumn]],_xlfn.CONCAT(Query2[[#This Row],[wh]],"-",Query2[[#This Row],[Column1]])))</f>
        <v>24-1</v>
      </c>
      <c r="B107" s="1" t="s">
        <v>166</v>
      </c>
      <c r="C107">
        <v>24</v>
      </c>
      <c r="D107">
        <v>1</v>
      </c>
      <c r="E107" s="1" t="s">
        <v>250</v>
      </c>
      <c r="F107" s="1" t="s">
        <v>24</v>
      </c>
      <c r="G107" s="3">
        <v>43997</v>
      </c>
      <c r="H107">
        <v>33359.660000000003</v>
      </c>
      <c r="I107">
        <v>86</v>
      </c>
      <c r="J107">
        <v>1216</v>
      </c>
      <c r="K107">
        <v>0</v>
      </c>
      <c r="L107">
        <v>15461.54</v>
      </c>
      <c r="M107">
        <v>17898.12</v>
      </c>
      <c r="N107">
        <v>15461.540000178982</v>
      </c>
      <c r="O107" s="1">
        <f>IF(Query2[[#This Row],[ranking]]=1,1,O106+1)</f>
        <v>1</v>
      </c>
    </row>
    <row r="108" spans="1:15" x14ac:dyDescent="0.3">
      <c r="A108" t="str">
        <f>IF(Query2[[#This Row],[ranking]]=1,Query2[[#This Row],[concatenationcolumn]],IF(Query2[[#This Row],[ranking]]=D107+1,Query2[[#This Row],[concatenationcolumn]],_xlfn.CONCAT(Query2[[#This Row],[wh]],"-",Query2[[#This Row],[Column1]])))</f>
        <v>24-2</v>
      </c>
      <c r="B108" s="1" t="s">
        <v>167</v>
      </c>
      <c r="C108">
        <v>24</v>
      </c>
      <c r="D108">
        <v>2</v>
      </c>
      <c r="E108" s="1" t="s">
        <v>349</v>
      </c>
      <c r="F108" s="1" t="s">
        <v>18</v>
      </c>
      <c r="G108" s="3">
        <v>43999</v>
      </c>
      <c r="H108">
        <v>12343.22</v>
      </c>
      <c r="I108">
        <v>66</v>
      </c>
      <c r="J108">
        <v>1646</v>
      </c>
      <c r="K108">
        <v>540</v>
      </c>
      <c r="L108">
        <v>1811.16</v>
      </c>
      <c r="M108">
        <v>9992.06</v>
      </c>
      <c r="N108">
        <v>2081.1600000999206</v>
      </c>
      <c r="O108" s="1">
        <f>IF(Query2[[#This Row],[ranking]]=1,1,O107+1)</f>
        <v>2</v>
      </c>
    </row>
    <row r="109" spans="1:15" x14ac:dyDescent="0.3">
      <c r="A109" t="str">
        <f>IF(Query2[[#This Row],[ranking]]=1,Query2[[#This Row],[concatenationcolumn]],IF(Query2[[#This Row],[ranking]]=D108+1,Query2[[#This Row],[concatenationcolumn]],_xlfn.CONCAT(Query2[[#This Row],[wh]],"-",Query2[[#This Row],[Column1]])))</f>
        <v>24-3</v>
      </c>
      <c r="B109" s="1" t="s">
        <v>168</v>
      </c>
      <c r="C109">
        <v>24</v>
      </c>
      <c r="D109">
        <v>3</v>
      </c>
      <c r="E109" s="1" t="s">
        <v>296</v>
      </c>
      <c r="F109" s="1" t="s">
        <v>25</v>
      </c>
      <c r="G109" s="3">
        <v>43998</v>
      </c>
      <c r="H109">
        <v>17511.560000000001</v>
      </c>
      <c r="I109">
        <v>61</v>
      </c>
      <c r="J109">
        <v>941</v>
      </c>
      <c r="K109">
        <v>768.36</v>
      </c>
      <c r="L109">
        <v>444.28</v>
      </c>
      <c r="M109">
        <v>16298.92</v>
      </c>
      <c r="N109">
        <v>828.46000016298922</v>
      </c>
      <c r="O109" s="1">
        <f>IF(Query2[[#This Row],[ranking]]=1,1,O108+1)</f>
        <v>3</v>
      </c>
    </row>
    <row r="110" spans="1:15" x14ac:dyDescent="0.3">
      <c r="A110" t="str">
        <f>IF(Query2[[#This Row],[ranking]]=1,Query2[[#This Row],[concatenationcolumn]],IF(Query2[[#This Row],[ranking]]=D109+1,Query2[[#This Row],[concatenationcolumn]],_xlfn.CONCAT(Query2[[#This Row],[wh]],"-",Query2[[#This Row],[Column1]])))</f>
        <v>24-4</v>
      </c>
      <c r="B110" s="1" t="s">
        <v>169</v>
      </c>
      <c r="C110">
        <v>24</v>
      </c>
      <c r="D110">
        <v>4</v>
      </c>
      <c r="E110" s="1" t="s">
        <v>350</v>
      </c>
      <c r="F110" s="1" t="s">
        <v>34</v>
      </c>
      <c r="G110" s="3">
        <v>43999</v>
      </c>
      <c r="H110">
        <v>3316</v>
      </c>
      <c r="I110">
        <v>13</v>
      </c>
      <c r="J110">
        <v>249</v>
      </c>
      <c r="K110">
        <v>0</v>
      </c>
      <c r="L110">
        <v>307.8</v>
      </c>
      <c r="M110">
        <v>3008.2</v>
      </c>
      <c r="N110">
        <v>307.800000030082</v>
      </c>
      <c r="O110" s="1">
        <f>IF(Query2[[#This Row],[ranking]]=1,1,O109+1)</f>
        <v>4</v>
      </c>
    </row>
    <row r="111" spans="1:15" x14ac:dyDescent="0.3">
      <c r="A111" t="str">
        <f>IF(Query2[[#This Row],[ranking]]=1,Query2[[#This Row],[concatenationcolumn]],IF(Query2[[#This Row],[ranking]]=D110+1,Query2[[#This Row],[concatenationcolumn]],_xlfn.CONCAT(Query2[[#This Row],[wh]],"-",Query2[[#This Row],[Column1]])))</f>
        <v>24-5</v>
      </c>
      <c r="B111" s="1" t="s">
        <v>170</v>
      </c>
      <c r="C111">
        <v>24</v>
      </c>
      <c r="D111">
        <v>5</v>
      </c>
      <c r="E111" s="1" t="s">
        <v>348</v>
      </c>
      <c r="F111" s="1" t="s">
        <v>39</v>
      </c>
      <c r="G111" s="3">
        <v>43999</v>
      </c>
      <c r="H111">
        <v>227.26</v>
      </c>
      <c r="I111">
        <v>2</v>
      </c>
      <c r="J111">
        <v>10</v>
      </c>
      <c r="K111">
        <v>0</v>
      </c>
      <c r="L111">
        <v>227.26</v>
      </c>
      <c r="M111">
        <v>0</v>
      </c>
      <c r="N111">
        <v>227.26</v>
      </c>
      <c r="O111" s="1">
        <f>IF(Query2[[#This Row],[ranking]]=1,1,O110+1)</f>
        <v>5</v>
      </c>
    </row>
    <row r="112" spans="1:15" x14ac:dyDescent="0.3">
      <c r="A112" t="str">
        <f>IF(Query2[[#This Row],[ranking]]=1,Query2[[#This Row],[concatenationcolumn]],IF(Query2[[#This Row],[ranking]]=D111+1,Query2[[#This Row],[concatenationcolumn]],_xlfn.CONCAT(Query2[[#This Row],[wh]],"-",Query2[[#This Row],[Column1]])))</f>
        <v>24-6</v>
      </c>
      <c r="B112" s="1" t="s">
        <v>253</v>
      </c>
      <c r="C112">
        <v>24</v>
      </c>
      <c r="D112">
        <v>6</v>
      </c>
      <c r="E112" s="1" t="s">
        <v>252</v>
      </c>
      <c r="F112" s="1" t="s">
        <v>21</v>
      </c>
      <c r="G112" s="3">
        <v>43994</v>
      </c>
      <c r="H112">
        <v>472.84</v>
      </c>
      <c r="I112">
        <v>3</v>
      </c>
      <c r="J112">
        <v>38</v>
      </c>
      <c r="K112">
        <v>0</v>
      </c>
      <c r="L112">
        <v>174.76</v>
      </c>
      <c r="M112">
        <v>298.08</v>
      </c>
      <c r="N112">
        <v>174.7600000029808</v>
      </c>
      <c r="O112" s="1">
        <f>IF(Query2[[#This Row],[ranking]]=1,1,O111+1)</f>
        <v>6</v>
      </c>
    </row>
    <row r="113" spans="1:15" x14ac:dyDescent="0.3">
      <c r="A113" t="str">
        <f>IF(Query2[[#This Row],[ranking]]=1,Query2[[#This Row],[concatenationcolumn]],IF(Query2[[#This Row],[ranking]]=D112+1,Query2[[#This Row],[concatenationcolumn]],_xlfn.CONCAT(Query2[[#This Row],[wh]],"-",Query2[[#This Row],[Column1]])))</f>
        <v>24-7</v>
      </c>
      <c r="B113" s="1" t="s">
        <v>254</v>
      </c>
      <c r="C113">
        <v>24</v>
      </c>
      <c r="D113">
        <v>7</v>
      </c>
      <c r="E113" s="1" t="s">
        <v>251</v>
      </c>
      <c r="F113" s="1" t="s">
        <v>22</v>
      </c>
      <c r="G113" s="3">
        <v>43997</v>
      </c>
      <c r="H113">
        <v>186.05</v>
      </c>
      <c r="I113">
        <v>2</v>
      </c>
      <c r="J113">
        <v>2</v>
      </c>
      <c r="K113">
        <v>0</v>
      </c>
      <c r="L113">
        <v>121.75</v>
      </c>
      <c r="M113">
        <v>64.3</v>
      </c>
      <c r="N113">
        <v>121.750000000643</v>
      </c>
      <c r="O113" s="1">
        <f>IF(Query2[[#This Row],[ranking]]=1,1,O112+1)</f>
        <v>7</v>
      </c>
    </row>
    <row r="114" spans="1:15" x14ac:dyDescent="0.3">
      <c r="A114" t="str">
        <f>IF(Query2[[#This Row],[ranking]]=1,Query2[[#This Row],[concatenationcolumn]],IF(Query2[[#This Row],[ranking]]=D113+1,Query2[[#This Row],[concatenationcolumn]],_xlfn.CONCAT(Query2[[#This Row],[wh]],"-",Query2[[#This Row],[Column1]])))</f>
        <v>24-8</v>
      </c>
      <c r="B114" s="1" t="s">
        <v>256</v>
      </c>
      <c r="C114">
        <v>24</v>
      </c>
      <c r="D114">
        <v>8</v>
      </c>
      <c r="E114" s="1" t="s">
        <v>255</v>
      </c>
      <c r="F114" s="1" t="s">
        <v>34</v>
      </c>
      <c r="G114" s="3">
        <v>43997</v>
      </c>
      <c r="H114">
        <v>0</v>
      </c>
      <c r="I114">
        <v>3</v>
      </c>
      <c r="J114">
        <v>27</v>
      </c>
      <c r="K114">
        <v>0</v>
      </c>
      <c r="L114">
        <v>0</v>
      </c>
      <c r="M114">
        <v>0</v>
      </c>
      <c r="N114">
        <v>0</v>
      </c>
      <c r="O114" s="1">
        <f>IF(Query2[[#This Row],[ranking]]=1,1,O113+1)</f>
        <v>8</v>
      </c>
    </row>
    <row r="115" spans="1:15" x14ac:dyDescent="0.3">
      <c r="A115" t="str">
        <f>IF(Query2[[#This Row],[ranking]]=1,Query2[[#This Row],[concatenationcolumn]],IF(Query2[[#This Row],[ranking]]=D114+1,Query2[[#This Row],[concatenationcolumn]],_xlfn.CONCAT(Query2[[#This Row],[wh]],"-",Query2[[#This Row],[Column1]])))</f>
        <v>25-1</v>
      </c>
      <c r="B115" s="1" t="s">
        <v>171</v>
      </c>
      <c r="C115">
        <v>25</v>
      </c>
      <c r="D115">
        <v>1</v>
      </c>
      <c r="E115" s="1" t="s">
        <v>401</v>
      </c>
      <c r="F115" s="1" t="s">
        <v>148</v>
      </c>
      <c r="G115" s="3">
        <v>44000</v>
      </c>
      <c r="H115">
        <v>22293.200000000001</v>
      </c>
      <c r="I115">
        <v>12</v>
      </c>
      <c r="J115">
        <v>3050</v>
      </c>
      <c r="K115">
        <v>0</v>
      </c>
      <c r="L115">
        <v>20861.599999999999</v>
      </c>
      <c r="M115">
        <v>1431.6</v>
      </c>
      <c r="N115">
        <v>20861.600000014318</v>
      </c>
      <c r="O115" s="1">
        <f>IF(Query2[[#This Row],[ranking]]=1,1,O114+1)</f>
        <v>1</v>
      </c>
    </row>
    <row r="116" spans="1:15" x14ac:dyDescent="0.3">
      <c r="A116" t="str">
        <f>IF(Query2[[#This Row],[ranking]]=1,Query2[[#This Row],[concatenationcolumn]],IF(Query2[[#This Row],[ranking]]=D115+1,Query2[[#This Row],[concatenationcolumn]],_xlfn.CONCAT(Query2[[#This Row],[wh]],"-",Query2[[#This Row],[Column1]])))</f>
        <v>25-2</v>
      </c>
      <c r="B116" s="1" t="s">
        <v>172</v>
      </c>
      <c r="C116">
        <v>25</v>
      </c>
      <c r="D116">
        <v>2</v>
      </c>
      <c r="E116" s="1" t="s">
        <v>402</v>
      </c>
      <c r="F116" s="1" t="s">
        <v>39</v>
      </c>
      <c r="G116" s="3">
        <v>44000</v>
      </c>
      <c r="H116">
        <v>8108.76</v>
      </c>
      <c r="I116">
        <v>22</v>
      </c>
      <c r="J116">
        <v>326</v>
      </c>
      <c r="K116">
        <v>0</v>
      </c>
      <c r="L116">
        <v>7165.62</v>
      </c>
      <c r="M116">
        <v>943.14</v>
      </c>
      <c r="N116">
        <v>7165.6200000094314</v>
      </c>
      <c r="O116" s="1">
        <f>IF(Query2[[#This Row],[ranking]]=1,1,O115+1)</f>
        <v>2</v>
      </c>
    </row>
    <row r="117" spans="1:15" x14ac:dyDescent="0.3">
      <c r="A117" t="str">
        <f>IF(Query2[[#This Row],[ranking]]=1,Query2[[#This Row],[concatenationcolumn]],IF(Query2[[#This Row],[ranking]]=D116+1,Query2[[#This Row],[concatenationcolumn]],_xlfn.CONCAT(Query2[[#This Row],[wh]],"-",Query2[[#This Row],[Column1]])))</f>
        <v>25-3</v>
      </c>
      <c r="B117" s="1" t="s">
        <v>173</v>
      </c>
      <c r="C117">
        <v>25</v>
      </c>
      <c r="D117">
        <v>3</v>
      </c>
      <c r="E117" s="1" t="s">
        <v>297</v>
      </c>
      <c r="F117" s="1" t="s">
        <v>34</v>
      </c>
      <c r="G117" s="3">
        <v>43998</v>
      </c>
      <c r="H117">
        <v>17480.48</v>
      </c>
      <c r="I117">
        <v>16</v>
      </c>
      <c r="J117">
        <v>536</v>
      </c>
      <c r="K117">
        <v>0</v>
      </c>
      <c r="L117">
        <v>2649.7</v>
      </c>
      <c r="M117">
        <v>14830.78</v>
      </c>
      <c r="N117">
        <v>2649.7000001483079</v>
      </c>
      <c r="O117" s="1">
        <f>IF(Query2[[#This Row],[ranking]]=1,1,O116+1)</f>
        <v>3</v>
      </c>
    </row>
    <row r="118" spans="1:15" x14ac:dyDescent="0.3">
      <c r="A118" t="str">
        <f>IF(Query2[[#This Row],[ranking]]=1,Query2[[#This Row],[concatenationcolumn]],IF(Query2[[#This Row],[ranking]]=D117+1,Query2[[#This Row],[concatenationcolumn]],_xlfn.CONCAT(Query2[[#This Row],[wh]],"-",Query2[[#This Row],[Column1]])))</f>
        <v>25-4</v>
      </c>
      <c r="B118" s="1" t="s">
        <v>174</v>
      </c>
      <c r="C118">
        <v>25</v>
      </c>
      <c r="D118">
        <v>4</v>
      </c>
      <c r="E118" s="1" t="s">
        <v>298</v>
      </c>
      <c r="F118" s="1" t="s">
        <v>24</v>
      </c>
      <c r="G118" s="3">
        <v>43998</v>
      </c>
      <c r="H118">
        <v>2362.54</v>
      </c>
      <c r="I118">
        <v>5</v>
      </c>
      <c r="J118">
        <v>96</v>
      </c>
      <c r="K118">
        <v>0</v>
      </c>
      <c r="L118">
        <v>1886.54</v>
      </c>
      <c r="M118">
        <v>476</v>
      </c>
      <c r="N118">
        <v>1886.54000000476</v>
      </c>
      <c r="O118" s="1">
        <f>IF(Query2[[#This Row],[ranking]]=1,1,O117+1)</f>
        <v>4</v>
      </c>
    </row>
    <row r="119" spans="1:15" x14ac:dyDescent="0.3">
      <c r="A119" t="str">
        <f>IF(Query2[[#This Row],[ranking]]=1,Query2[[#This Row],[concatenationcolumn]],IF(Query2[[#This Row],[ranking]]=D118+1,Query2[[#This Row],[concatenationcolumn]],_xlfn.CONCAT(Query2[[#This Row],[wh]],"-",Query2[[#This Row],[Column1]])))</f>
        <v>25-5</v>
      </c>
      <c r="B119" s="1" t="s">
        <v>175</v>
      </c>
      <c r="C119">
        <v>25</v>
      </c>
      <c r="D119">
        <v>5</v>
      </c>
      <c r="E119" s="1" t="s">
        <v>300</v>
      </c>
      <c r="F119" s="1" t="s">
        <v>18</v>
      </c>
      <c r="G119" s="3">
        <v>43998</v>
      </c>
      <c r="H119">
        <v>15064.2</v>
      </c>
      <c r="I119">
        <v>87</v>
      </c>
      <c r="J119">
        <v>1437</v>
      </c>
      <c r="K119">
        <v>270</v>
      </c>
      <c r="L119">
        <v>1710.06</v>
      </c>
      <c r="M119">
        <v>13084.14</v>
      </c>
      <c r="N119">
        <v>1845.0600001308417</v>
      </c>
      <c r="O119" s="1">
        <f>IF(Query2[[#This Row],[ranking]]=1,1,O118+1)</f>
        <v>5</v>
      </c>
    </row>
    <row r="120" spans="1:15" x14ac:dyDescent="0.3">
      <c r="A120" t="str">
        <f>IF(Query2[[#This Row],[ranking]]=1,Query2[[#This Row],[concatenationcolumn]],IF(Query2[[#This Row],[ranking]]=D119+1,Query2[[#This Row],[concatenationcolumn]],_xlfn.CONCAT(Query2[[#This Row],[wh]],"-",Query2[[#This Row],[Column1]])))</f>
        <v>25-6</v>
      </c>
      <c r="B120" s="1" t="s">
        <v>176</v>
      </c>
      <c r="C120">
        <v>25</v>
      </c>
      <c r="D120">
        <v>6</v>
      </c>
      <c r="E120" s="1" t="s">
        <v>299</v>
      </c>
      <c r="F120" s="1" t="s">
        <v>24</v>
      </c>
      <c r="G120" s="3">
        <v>43998</v>
      </c>
      <c r="H120">
        <v>15901.06</v>
      </c>
      <c r="I120">
        <v>26</v>
      </c>
      <c r="J120">
        <v>681</v>
      </c>
      <c r="K120">
        <v>0</v>
      </c>
      <c r="L120">
        <v>1513.79</v>
      </c>
      <c r="M120">
        <v>14387.27</v>
      </c>
      <c r="N120">
        <v>1513.7900001438727</v>
      </c>
      <c r="O120" s="1">
        <f>IF(Query2[[#This Row],[ranking]]=1,1,O119+1)</f>
        <v>6</v>
      </c>
    </row>
    <row r="121" spans="1:15" x14ac:dyDescent="0.3">
      <c r="A121" t="str">
        <f>IF(Query2[[#This Row],[ranking]]=1,Query2[[#This Row],[concatenationcolumn]],IF(Query2[[#This Row],[ranking]]=D120+1,Query2[[#This Row],[concatenationcolumn]],_xlfn.CONCAT(Query2[[#This Row],[wh]],"-",Query2[[#This Row],[Column1]])))</f>
        <v>25-7</v>
      </c>
      <c r="B121" s="1" t="s">
        <v>177</v>
      </c>
      <c r="C121">
        <v>25</v>
      </c>
      <c r="D121">
        <v>7</v>
      </c>
      <c r="E121" s="1" t="s">
        <v>257</v>
      </c>
      <c r="F121" s="1" t="s">
        <v>47</v>
      </c>
      <c r="G121" s="3">
        <v>43994</v>
      </c>
      <c r="H121">
        <v>3322.7</v>
      </c>
      <c r="I121">
        <v>21</v>
      </c>
      <c r="J121">
        <v>32</v>
      </c>
      <c r="K121">
        <v>0</v>
      </c>
      <c r="L121">
        <v>1485.73</v>
      </c>
      <c r="M121">
        <v>1836.97</v>
      </c>
      <c r="N121">
        <v>1485.7300000183695</v>
      </c>
      <c r="O121" s="1">
        <f>IF(Query2[[#This Row],[ranking]]=1,1,O120+1)</f>
        <v>7</v>
      </c>
    </row>
    <row r="122" spans="1:15" x14ac:dyDescent="0.3">
      <c r="A122" t="str">
        <f>IF(Query2[[#This Row],[ranking]]=1,Query2[[#This Row],[concatenationcolumn]],IF(Query2[[#This Row],[ranking]]=D121+1,Query2[[#This Row],[concatenationcolumn]],_xlfn.CONCAT(Query2[[#This Row],[wh]],"-",Query2[[#This Row],[Column1]])))</f>
        <v>25-8</v>
      </c>
      <c r="B122" s="1" t="s">
        <v>178</v>
      </c>
      <c r="C122">
        <v>25</v>
      </c>
      <c r="D122">
        <v>8</v>
      </c>
      <c r="E122" s="1" t="s">
        <v>301</v>
      </c>
      <c r="F122" s="1" t="s">
        <v>41</v>
      </c>
      <c r="G122" s="3">
        <v>43998</v>
      </c>
      <c r="H122">
        <v>2971.02</v>
      </c>
      <c r="I122">
        <v>25</v>
      </c>
      <c r="J122">
        <v>107</v>
      </c>
      <c r="K122">
        <v>0</v>
      </c>
      <c r="L122">
        <v>1183.67</v>
      </c>
      <c r="M122">
        <v>1787.35</v>
      </c>
      <c r="N122">
        <v>1183.6700000178737</v>
      </c>
      <c r="O122" s="1">
        <f>IF(Query2[[#This Row],[ranking]]=1,1,O121+1)</f>
        <v>8</v>
      </c>
    </row>
    <row r="123" spans="1:15" x14ac:dyDescent="0.3">
      <c r="A123" t="str">
        <f>IF(Query2[[#This Row],[ranking]]=1,Query2[[#This Row],[concatenationcolumn]],IF(Query2[[#This Row],[ranking]]=D122+1,Query2[[#This Row],[concatenationcolumn]],_xlfn.CONCAT(Query2[[#This Row],[wh]],"-",Query2[[#This Row],[Column1]])))</f>
        <v>25-9</v>
      </c>
      <c r="B123" s="1" t="s">
        <v>179</v>
      </c>
      <c r="C123">
        <v>25</v>
      </c>
      <c r="D123">
        <v>9</v>
      </c>
      <c r="E123" s="1" t="s">
        <v>403</v>
      </c>
      <c r="F123" s="1" t="s">
        <v>32</v>
      </c>
      <c r="G123" s="3">
        <v>44000</v>
      </c>
      <c r="H123">
        <v>5393.1</v>
      </c>
      <c r="I123">
        <v>18</v>
      </c>
      <c r="J123">
        <v>98</v>
      </c>
      <c r="K123">
        <v>0</v>
      </c>
      <c r="L123">
        <v>858.98</v>
      </c>
      <c r="M123">
        <v>4534.12</v>
      </c>
      <c r="N123">
        <v>858.98000004534117</v>
      </c>
      <c r="O123" s="1">
        <f>IF(Query2[[#This Row],[ranking]]=1,1,O122+1)</f>
        <v>9</v>
      </c>
    </row>
    <row r="124" spans="1:15" x14ac:dyDescent="0.3">
      <c r="A124" t="str">
        <f>IF(Query2[[#This Row],[ranking]]=1,Query2[[#This Row],[concatenationcolumn]],IF(Query2[[#This Row],[ranking]]=D123+1,Query2[[#This Row],[concatenationcolumn]],_xlfn.CONCAT(Query2[[#This Row],[wh]],"-",Query2[[#This Row],[Column1]])))</f>
        <v>25-10</v>
      </c>
      <c r="B124" s="1" t="s">
        <v>404</v>
      </c>
      <c r="C124">
        <v>25</v>
      </c>
      <c r="D124">
        <v>10</v>
      </c>
      <c r="E124" s="1" t="s">
        <v>405</v>
      </c>
      <c r="F124" s="1" t="s">
        <v>37</v>
      </c>
      <c r="G124" s="3">
        <v>44000</v>
      </c>
      <c r="H124">
        <v>4425.04</v>
      </c>
      <c r="I124">
        <v>16</v>
      </c>
      <c r="J124">
        <v>453</v>
      </c>
      <c r="K124">
        <v>0</v>
      </c>
      <c r="L124">
        <v>427.72</v>
      </c>
      <c r="M124">
        <v>3997.32</v>
      </c>
      <c r="N124">
        <v>427.72000003997317</v>
      </c>
      <c r="O124" s="1">
        <f>IF(Query2[[#This Row],[ranking]]=1,1,O123+1)</f>
        <v>10</v>
      </c>
    </row>
    <row r="125" spans="1:15" x14ac:dyDescent="0.3">
      <c r="A125" t="str">
        <f>IF(Query2[[#This Row],[ranking]]=1,Query2[[#This Row],[concatenationcolumn]],IF(Query2[[#This Row],[ranking]]=D124+1,Query2[[#This Row],[concatenationcolumn]],_xlfn.CONCAT(Query2[[#This Row],[wh]],"-",Query2[[#This Row],[Column1]])))</f>
        <v>25-11</v>
      </c>
      <c r="B125" s="1" t="s">
        <v>302</v>
      </c>
      <c r="C125">
        <v>25</v>
      </c>
      <c r="D125">
        <v>11</v>
      </c>
      <c r="E125" s="1" t="s">
        <v>351</v>
      </c>
      <c r="F125" s="1" t="s">
        <v>30</v>
      </c>
      <c r="G125" s="3">
        <v>43999</v>
      </c>
      <c r="H125">
        <v>4123.66</v>
      </c>
      <c r="I125">
        <v>15</v>
      </c>
      <c r="J125">
        <v>156</v>
      </c>
      <c r="K125">
        <v>0</v>
      </c>
      <c r="L125">
        <v>180.24</v>
      </c>
      <c r="M125">
        <v>3943.42</v>
      </c>
      <c r="N125">
        <v>180.24000003943419</v>
      </c>
      <c r="O125" s="1">
        <f>IF(Query2[[#This Row],[ranking]]=1,1,O124+1)</f>
        <v>11</v>
      </c>
    </row>
    <row r="126" spans="1:15" x14ac:dyDescent="0.3">
      <c r="A126" t="str">
        <f>IF(Query2[[#This Row],[ranking]]=1,Query2[[#This Row],[concatenationcolumn]],IF(Query2[[#This Row],[ranking]]=D125+1,Query2[[#This Row],[concatenationcolumn]],_xlfn.CONCAT(Query2[[#This Row],[wh]],"-",Query2[[#This Row],[Column1]])))</f>
        <v>25-12</v>
      </c>
      <c r="B126" s="1" t="s">
        <v>180</v>
      </c>
      <c r="C126">
        <v>25</v>
      </c>
      <c r="D126">
        <v>13</v>
      </c>
      <c r="E126" s="1" t="s">
        <v>182</v>
      </c>
      <c r="F126" s="1" t="s">
        <v>32</v>
      </c>
      <c r="G126" s="3">
        <v>43993</v>
      </c>
      <c r="H126">
        <v>113.7</v>
      </c>
      <c r="I126">
        <v>1</v>
      </c>
      <c r="J126">
        <v>2</v>
      </c>
      <c r="K126">
        <v>0</v>
      </c>
      <c r="L126">
        <v>113.7</v>
      </c>
      <c r="M126">
        <v>0</v>
      </c>
      <c r="N126">
        <v>113.7</v>
      </c>
      <c r="O126" s="1">
        <f>IF(Query2[[#This Row],[ranking]]=1,1,O125+1)</f>
        <v>12</v>
      </c>
    </row>
    <row r="127" spans="1:15" x14ac:dyDescent="0.3">
      <c r="A127" t="str">
        <f>IF(Query2[[#This Row],[ranking]]=1,Query2[[#This Row],[concatenationcolumn]],IF(Query2[[#This Row],[ranking]]=D126+1,Query2[[#This Row],[concatenationcolumn]],_xlfn.CONCAT(Query2[[#This Row],[wh]],"-",Query2[[#This Row],[Column1]])))</f>
        <v>25-13</v>
      </c>
      <c r="B127" s="1" t="s">
        <v>180</v>
      </c>
      <c r="C127">
        <v>25</v>
      </c>
      <c r="D127">
        <v>13</v>
      </c>
      <c r="E127" s="1" t="s">
        <v>181</v>
      </c>
      <c r="F127" s="1" t="s">
        <v>32</v>
      </c>
      <c r="G127" s="3">
        <v>43993</v>
      </c>
      <c r="H127">
        <v>113.7</v>
      </c>
      <c r="I127">
        <v>1</v>
      </c>
      <c r="J127">
        <v>2</v>
      </c>
      <c r="K127">
        <v>0</v>
      </c>
      <c r="L127">
        <v>113.7</v>
      </c>
      <c r="M127">
        <v>0</v>
      </c>
      <c r="N127">
        <v>113.7</v>
      </c>
      <c r="O127" s="1">
        <f>IF(Query2[[#This Row],[ranking]]=1,1,O126+1)</f>
        <v>13</v>
      </c>
    </row>
    <row r="128" spans="1:15" x14ac:dyDescent="0.3">
      <c r="A128" t="str">
        <f>IF(Query2[[#This Row],[ranking]]=1,Query2[[#This Row],[concatenationcolumn]],IF(Query2[[#This Row],[ranking]]=D127+1,Query2[[#This Row],[concatenationcolumn]],_xlfn.CONCAT(Query2[[#This Row],[wh]],"-",Query2[[#This Row],[Column1]])))</f>
        <v>28-1</v>
      </c>
      <c r="B128" s="1" t="s">
        <v>183</v>
      </c>
      <c r="C128">
        <v>28</v>
      </c>
      <c r="D128">
        <v>1</v>
      </c>
      <c r="E128" s="1" t="s">
        <v>352</v>
      </c>
      <c r="F128" s="1" t="s">
        <v>39</v>
      </c>
      <c r="G128" s="3">
        <v>43999</v>
      </c>
      <c r="H128">
        <v>4735.3599999999997</v>
      </c>
      <c r="I128">
        <v>15</v>
      </c>
      <c r="J128">
        <v>202</v>
      </c>
      <c r="K128">
        <v>0</v>
      </c>
      <c r="L128">
        <v>4691.2</v>
      </c>
      <c r="M128">
        <v>44.16</v>
      </c>
      <c r="N128">
        <v>4691.2000000004418</v>
      </c>
      <c r="O128" s="1">
        <f>IF(Query2[[#This Row],[ranking]]=1,1,O127+1)</f>
        <v>1</v>
      </c>
    </row>
    <row r="129" spans="1:15" x14ac:dyDescent="0.3">
      <c r="A129" t="str">
        <f>IF(Query2[[#This Row],[ranking]]=1,Query2[[#This Row],[concatenationcolumn]],IF(Query2[[#This Row],[ranking]]=D128+1,Query2[[#This Row],[concatenationcolumn]],_xlfn.CONCAT(Query2[[#This Row],[wh]],"-",Query2[[#This Row],[Column1]])))</f>
        <v>28-2</v>
      </c>
      <c r="B129" s="1" t="s">
        <v>185</v>
      </c>
      <c r="C129">
        <v>28</v>
      </c>
      <c r="D129">
        <v>2</v>
      </c>
      <c r="E129" s="1" t="s">
        <v>259</v>
      </c>
      <c r="F129" s="1" t="s">
        <v>22</v>
      </c>
      <c r="G129" s="3">
        <v>43994</v>
      </c>
      <c r="H129">
        <v>12122.73</v>
      </c>
      <c r="I129">
        <v>55</v>
      </c>
      <c r="J129">
        <v>392</v>
      </c>
      <c r="K129">
        <v>0</v>
      </c>
      <c r="L129">
        <v>3344.97</v>
      </c>
      <c r="M129">
        <v>8777.76</v>
      </c>
      <c r="N129">
        <v>3344.9700000877774</v>
      </c>
      <c r="O129" s="1">
        <f>IF(Query2[[#This Row],[ranking]]=1,1,O128+1)</f>
        <v>2</v>
      </c>
    </row>
    <row r="130" spans="1:15" x14ac:dyDescent="0.3">
      <c r="A130" t="str">
        <f>IF(Query2[[#This Row],[ranking]]=1,Query2[[#This Row],[concatenationcolumn]],IF(Query2[[#This Row],[ranking]]=D129+1,Query2[[#This Row],[concatenationcolumn]],_xlfn.CONCAT(Query2[[#This Row],[wh]],"-",Query2[[#This Row],[Column1]])))</f>
        <v>28-3</v>
      </c>
      <c r="B130" s="1" t="s">
        <v>186</v>
      </c>
      <c r="C130">
        <v>28</v>
      </c>
      <c r="D130">
        <v>3</v>
      </c>
      <c r="E130" s="1" t="s">
        <v>190</v>
      </c>
      <c r="F130" s="1" t="s">
        <v>25</v>
      </c>
      <c r="G130" s="3">
        <v>43992</v>
      </c>
      <c r="H130">
        <v>29983.919999999998</v>
      </c>
      <c r="I130">
        <v>71</v>
      </c>
      <c r="J130">
        <v>1026</v>
      </c>
      <c r="K130">
        <v>192.09</v>
      </c>
      <c r="L130">
        <v>2321.6</v>
      </c>
      <c r="M130">
        <v>27470.23</v>
      </c>
      <c r="N130">
        <v>2417.6450002747024</v>
      </c>
      <c r="O130" s="1">
        <f>IF(Query2[[#This Row],[ranking]]=1,1,O129+1)</f>
        <v>3</v>
      </c>
    </row>
    <row r="131" spans="1:15" x14ac:dyDescent="0.3">
      <c r="A131" t="str">
        <f>IF(Query2[[#This Row],[ranking]]=1,Query2[[#This Row],[concatenationcolumn]],IF(Query2[[#This Row],[ranking]]=D130+1,Query2[[#This Row],[concatenationcolumn]],_xlfn.CONCAT(Query2[[#This Row],[wh]],"-",Query2[[#This Row],[Column1]])))</f>
        <v>28-4</v>
      </c>
      <c r="B131" s="1" t="s">
        <v>188</v>
      </c>
      <c r="C131">
        <v>28</v>
      </c>
      <c r="D131">
        <v>4</v>
      </c>
      <c r="E131" s="1" t="s">
        <v>184</v>
      </c>
      <c r="F131" s="1" t="s">
        <v>28</v>
      </c>
      <c r="G131" s="3">
        <v>43992</v>
      </c>
      <c r="H131">
        <v>2151.6799999999998</v>
      </c>
      <c r="I131">
        <v>7</v>
      </c>
      <c r="J131">
        <v>394</v>
      </c>
      <c r="K131">
        <v>0</v>
      </c>
      <c r="L131">
        <v>2151.6799999999998</v>
      </c>
      <c r="M131">
        <v>0</v>
      </c>
      <c r="N131">
        <v>2151.6799999999998</v>
      </c>
      <c r="O131" s="1">
        <f>IF(Query2[[#This Row],[ranking]]=1,1,O130+1)</f>
        <v>4</v>
      </c>
    </row>
    <row r="132" spans="1:15" x14ac:dyDescent="0.3">
      <c r="A132" t="str">
        <f>IF(Query2[[#This Row],[ranking]]=1,Query2[[#This Row],[concatenationcolumn]],IF(Query2[[#This Row],[ranking]]=D131+1,Query2[[#This Row],[concatenationcolumn]],_xlfn.CONCAT(Query2[[#This Row],[wh]],"-",Query2[[#This Row],[Column1]])))</f>
        <v>28-5</v>
      </c>
      <c r="B132" s="1" t="s">
        <v>189</v>
      </c>
      <c r="C132">
        <v>28</v>
      </c>
      <c r="D132">
        <v>5</v>
      </c>
      <c r="E132" s="1" t="s">
        <v>197</v>
      </c>
      <c r="F132" s="1" t="s">
        <v>24</v>
      </c>
      <c r="G132" s="3">
        <v>43992</v>
      </c>
      <c r="H132">
        <v>5122.8599999999997</v>
      </c>
      <c r="I132">
        <v>22</v>
      </c>
      <c r="J132">
        <v>240</v>
      </c>
      <c r="K132">
        <v>0</v>
      </c>
      <c r="L132">
        <v>1929.17</v>
      </c>
      <c r="M132">
        <v>3193.69</v>
      </c>
      <c r="N132">
        <v>1929.1700000319368</v>
      </c>
      <c r="O132" s="1">
        <f>IF(Query2[[#This Row],[ranking]]=1,1,O131+1)</f>
        <v>5</v>
      </c>
    </row>
    <row r="133" spans="1:15" x14ac:dyDescent="0.3">
      <c r="A133" t="str">
        <f>IF(Query2[[#This Row],[ranking]]=1,Query2[[#This Row],[concatenationcolumn]],IF(Query2[[#This Row],[ranking]]=D132+1,Query2[[#This Row],[concatenationcolumn]],_xlfn.CONCAT(Query2[[#This Row],[wh]],"-",Query2[[#This Row],[Column1]])))</f>
        <v>28-6</v>
      </c>
      <c r="B133" s="1" t="s">
        <v>191</v>
      </c>
      <c r="C133">
        <v>28</v>
      </c>
      <c r="D133">
        <v>6</v>
      </c>
      <c r="E133" s="1" t="s">
        <v>353</v>
      </c>
      <c r="F133" s="1" t="s">
        <v>18</v>
      </c>
      <c r="G133" s="3">
        <v>43999</v>
      </c>
      <c r="H133">
        <v>9158.16</v>
      </c>
      <c r="I133">
        <v>51</v>
      </c>
      <c r="J133">
        <v>888</v>
      </c>
      <c r="K133">
        <v>180</v>
      </c>
      <c r="L133">
        <v>1593.84</v>
      </c>
      <c r="M133">
        <v>7384.32</v>
      </c>
      <c r="N133">
        <v>1683.8400000738432</v>
      </c>
      <c r="O133" s="1">
        <f>IF(Query2[[#This Row],[ranking]]=1,1,O132+1)</f>
        <v>6</v>
      </c>
    </row>
    <row r="134" spans="1:15" x14ac:dyDescent="0.3">
      <c r="A134" t="str">
        <f>IF(Query2[[#This Row],[ranking]]=1,Query2[[#This Row],[concatenationcolumn]],IF(Query2[[#This Row],[ranking]]=D133+1,Query2[[#This Row],[concatenationcolumn]],_xlfn.CONCAT(Query2[[#This Row],[wh]],"-",Query2[[#This Row],[Column1]])))</f>
        <v>28-7</v>
      </c>
      <c r="B134" s="1" t="s">
        <v>192</v>
      </c>
      <c r="C134">
        <v>28</v>
      </c>
      <c r="D134">
        <v>7</v>
      </c>
      <c r="E134" s="1" t="s">
        <v>406</v>
      </c>
      <c r="F134" s="1" t="s">
        <v>22</v>
      </c>
      <c r="G134" s="3">
        <v>44000</v>
      </c>
      <c r="H134">
        <v>5625.24</v>
      </c>
      <c r="I134">
        <v>27</v>
      </c>
      <c r="J134">
        <v>206</v>
      </c>
      <c r="K134">
        <v>0</v>
      </c>
      <c r="L134">
        <v>1591.04</v>
      </c>
      <c r="M134">
        <v>4034.2</v>
      </c>
      <c r="N134">
        <v>1591.040000040342</v>
      </c>
      <c r="O134" s="1">
        <f>IF(Query2[[#This Row],[ranking]]=1,1,O133+1)</f>
        <v>7</v>
      </c>
    </row>
    <row r="135" spans="1:15" x14ac:dyDescent="0.3">
      <c r="A135" t="str">
        <f>IF(Query2[[#This Row],[ranking]]=1,Query2[[#This Row],[concatenationcolumn]],IF(Query2[[#This Row],[ranking]]=D134+1,Query2[[#This Row],[concatenationcolumn]],_xlfn.CONCAT(Query2[[#This Row],[wh]],"-",Query2[[#This Row],[Column1]])))</f>
        <v>28-8</v>
      </c>
      <c r="B135" s="1" t="s">
        <v>194</v>
      </c>
      <c r="C135">
        <v>28</v>
      </c>
      <c r="D135">
        <v>8</v>
      </c>
      <c r="E135" s="1" t="s">
        <v>354</v>
      </c>
      <c r="F135" s="1" t="s">
        <v>29</v>
      </c>
      <c r="G135" s="3">
        <v>43999</v>
      </c>
      <c r="H135">
        <v>5811.48</v>
      </c>
      <c r="I135">
        <v>17</v>
      </c>
      <c r="J135">
        <v>332</v>
      </c>
      <c r="K135">
        <v>0</v>
      </c>
      <c r="L135">
        <v>1235.98</v>
      </c>
      <c r="M135">
        <v>4575.5</v>
      </c>
      <c r="N135">
        <v>1235.9800000457551</v>
      </c>
      <c r="O135" s="1">
        <f>IF(Query2[[#This Row],[ranking]]=1,1,O134+1)</f>
        <v>8</v>
      </c>
    </row>
    <row r="136" spans="1:15" x14ac:dyDescent="0.3">
      <c r="A136" t="str">
        <f>IF(Query2[[#This Row],[ranking]]=1,Query2[[#This Row],[concatenationcolumn]],IF(Query2[[#This Row],[ranking]]=D135+1,Query2[[#This Row],[concatenationcolumn]],_xlfn.CONCAT(Query2[[#This Row],[wh]],"-",Query2[[#This Row],[Column1]])))</f>
        <v>28-9</v>
      </c>
      <c r="B136" s="1" t="s">
        <v>195</v>
      </c>
      <c r="C136">
        <v>28</v>
      </c>
      <c r="D136">
        <v>9</v>
      </c>
      <c r="E136" s="1" t="s">
        <v>187</v>
      </c>
      <c r="F136" s="1" t="s">
        <v>18</v>
      </c>
      <c r="G136" s="3">
        <v>43992</v>
      </c>
      <c r="H136">
        <v>1317.43</v>
      </c>
      <c r="I136">
        <v>9</v>
      </c>
      <c r="J136">
        <v>73</v>
      </c>
      <c r="K136">
        <v>0</v>
      </c>
      <c r="L136">
        <v>595.22</v>
      </c>
      <c r="M136">
        <v>722.21</v>
      </c>
      <c r="N136">
        <v>595.2200000072221</v>
      </c>
      <c r="O136" s="1">
        <f>IF(Query2[[#This Row],[ranking]]=1,1,O135+1)</f>
        <v>9</v>
      </c>
    </row>
    <row r="137" spans="1:15" x14ac:dyDescent="0.3">
      <c r="A137" t="str">
        <f>IF(Query2[[#This Row],[ranking]]=1,Query2[[#This Row],[concatenationcolumn]],IF(Query2[[#This Row],[ranking]]=D136+1,Query2[[#This Row],[concatenationcolumn]],_xlfn.CONCAT(Query2[[#This Row],[wh]],"-",Query2[[#This Row],[Column1]])))</f>
        <v>28-10</v>
      </c>
      <c r="B137" s="1" t="s">
        <v>196</v>
      </c>
      <c r="C137">
        <v>28</v>
      </c>
      <c r="D137">
        <v>10</v>
      </c>
      <c r="E137" s="1" t="s">
        <v>193</v>
      </c>
      <c r="F137" s="1" t="s">
        <v>34</v>
      </c>
      <c r="G137" s="3">
        <v>43992</v>
      </c>
      <c r="H137">
        <v>871.4</v>
      </c>
      <c r="I137">
        <v>6</v>
      </c>
      <c r="J137">
        <v>111</v>
      </c>
      <c r="K137">
        <v>0</v>
      </c>
      <c r="L137">
        <v>425</v>
      </c>
      <c r="M137">
        <v>446.4</v>
      </c>
      <c r="N137">
        <v>425.00000000446403</v>
      </c>
      <c r="O137" s="1">
        <f>IF(Query2[[#This Row],[ranking]]=1,1,O136+1)</f>
        <v>10</v>
      </c>
    </row>
    <row r="138" spans="1:15" x14ac:dyDescent="0.3">
      <c r="A138" t="str">
        <f>IF(Query2[[#This Row],[ranking]]=1,Query2[[#This Row],[concatenationcolumn]],IF(Query2[[#This Row],[ranking]]=D137+1,Query2[[#This Row],[concatenationcolumn]],_xlfn.CONCAT(Query2[[#This Row],[wh]],"-",Query2[[#This Row],[Column1]])))</f>
        <v>28-11</v>
      </c>
      <c r="B138" s="1" t="s">
        <v>198</v>
      </c>
      <c r="C138">
        <v>28</v>
      </c>
      <c r="D138">
        <v>11</v>
      </c>
      <c r="E138" s="1" t="s">
        <v>356</v>
      </c>
      <c r="F138" s="1" t="s">
        <v>29</v>
      </c>
      <c r="G138" s="3">
        <v>43999</v>
      </c>
      <c r="H138">
        <v>5292.86</v>
      </c>
      <c r="I138">
        <v>36</v>
      </c>
      <c r="J138">
        <v>455</v>
      </c>
      <c r="K138">
        <v>0</v>
      </c>
      <c r="L138">
        <v>251.64</v>
      </c>
      <c r="M138">
        <v>5041.22</v>
      </c>
      <c r="N138">
        <v>251.6400000504122</v>
      </c>
      <c r="O138" s="1">
        <f>IF(Query2[[#This Row],[ranking]]=1,1,O137+1)</f>
        <v>11</v>
      </c>
    </row>
    <row r="139" spans="1:15" x14ac:dyDescent="0.3">
      <c r="A139" t="str">
        <f>IF(Query2[[#This Row],[ranking]]=1,Query2[[#This Row],[concatenationcolumn]],IF(Query2[[#This Row],[ranking]]=D138+1,Query2[[#This Row],[concatenationcolumn]],_xlfn.CONCAT(Query2[[#This Row],[wh]],"-",Query2[[#This Row],[Column1]])))</f>
        <v>28-12</v>
      </c>
      <c r="B139" s="1" t="s">
        <v>199</v>
      </c>
      <c r="C139">
        <v>28</v>
      </c>
      <c r="D139">
        <v>12</v>
      </c>
      <c r="E139" s="1" t="s">
        <v>46</v>
      </c>
      <c r="F139" s="1" t="s">
        <v>41</v>
      </c>
      <c r="G139" s="3">
        <v>43983</v>
      </c>
      <c r="H139">
        <v>474.72</v>
      </c>
      <c r="I139">
        <v>4</v>
      </c>
      <c r="J139">
        <v>9</v>
      </c>
      <c r="K139">
        <v>0</v>
      </c>
      <c r="L139">
        <v>142.94999999999999</v>
      </c>
      <c r="M139">
        <v>331.77</v>
      </c>
      <c r="N139">
        <v>142.95000000331771</v>
      </c>
      <c r="O139" s="1">
        <f>IF(Query2[[#This Row],[ranking]]=1,1,O138+1)</f>
        <v>12</v>
      </c>
    </row>
    <row r="140" spans="1:15" x14ac:dyDescent="0.3">
      <c r="A140" t="str">
        <f>IF(Query2[[#This Row],[ranking]]=1,Query2[[#This Row],[concatenationcolumn]],IF(Query2[[#This Row],[ranking]]=D139+1,Query2[[#This Row],[concatenationcolumn]],_xlfn.CONCAT(Query2[[#This Row],[wh]],"-",Query2[[#This Row],[Column1]])))</f>
        <v>28-13</v>
      </c>
      <c r="B140" s="1" t="s">
        <v>200</v>
      </c>
      <c r="C140">
        <v>28</v>
      </c>
      <c r="D140">
        <v>13</v>
      </c>
      <c r="E140" s="1" t="s">
        <v>45</v>
      </c>
      <c r="F140" s="1" t="s">
        <v>22</v>
      </c>
      <c r="G140" s="3">
        <v>43985</v>
      </c>
      <c r="H140">
        <v>312.66000000000003</v>
      </c>
      <c r="I140">
        <v>2</v>
      </c>
      <c r="J140">
        <v>18</v>
      </c>
      <c r="K140">
        <v>0</v>
      </c>
      <c r="L140">
        <v>124.56</v>
      </c>
      <c r="M140">
        <v>188.1</v>
      </c>
      <c r="N140">
        <v>124.56000000188099</v>
      </c>
      <c r="O140" s="1">
        <f>IF(Query2[[#This Row],[ranking]]=1,1,O139+1)</f>
        <v>13</v>
      </c>
    </row>
    <row r="141" spans="1:15" x14ac:dyDescent="0.3">
      <c r="A141" t="str">
        <f>IF(Query2[[#This Row],[ranking]]=1,Query2[[#This Row],[concatenationcolumn]],IF(Query2[[#This Row],[ranking]]=D140+1,Query2[[#This Row],[concatenationcolumn]],_xlfn.CONCAT(Query2[[#This Row],[wh]],"-",Query2[[#This Row],[Column1]])))</f>
        <v>28-14</v>
      </c>
      <c r="B141" s="1" t="s">
        <v>355</v>
      </c>
      <c r="C141">
        <v>28</v>
      </c>
      <c r="D141">
        <v>14</v>
      </c>
      <c r="E141" s="1" t="s">
        <v>258</v>
      </c>
      <c r="F141" s="1" t="s">
        <v>32</v>
      </c>
      <c r="G141" s="3">
        <v>43994</v>
      </c>
      <c r="H141">
        <v>505.2</v>
      </c>
      <c r="I141">
        <v>3</v>
      </c>
      <c r="J141">
        <v>7</v>
      </c>
      <c r="K141">
        <v>0</v>
      </c>
      <c r="L141">
        <v>66.400000000000006</v>
      </c>
      <c r="M141">
        <v>438.8</v>
      </c>
      <c r="N141">
        <v>66.400000004388005</v>
      </c>
      <c r="O141" s="1">
        <f>IF(Query2[[#This Row],[ranking]]=1,1,O140+1)</f>
        <v>14</v>
      </c>
    </row>
    <row r="142" spans="1:15" x14ac:dyDescent="0.3">
      <c r="A142" t="str">
        <f>IF(Query2[[#This Row],[ranking]]=1,Query2[[#This Row],[concatenationcolumn]],IF(Query2[[#This Row],[ranking]]=D141+1,Query2[[#This Row],[concatenationcolumn]],_xlfn.CONCAT(Query2[[#This Row],[wh]],"-",Query2[[#This Row],[Column1]])))</f>
        <v>28-15</v>
      </c>
      <c r="B142" s="1" t="s">
        <v>357</v>
      </c>
      <c r="C142">
        <v>28</v>
      </c>
      <c r="D142">
        <v>15</v>
      </c>
      <c r="E142" s="1" t="s">
        <v>201</v>
      </c>
      <c r="F142" s="1" t="s">
        <v>30</v>
      </c>
      <c r="G142" s="3">
        <v>43993</v>
      </c>
      <c r="H142">
        <v>92.7</v>
      </c>
      <c r="I142">
        <v>1</v>
      </c>
      <c r="J142">
        <v>6</v>
      </c>
      <c r="K142">
        <v>0</v>
      </c>
      <c r="L142">
        <v>0</v>
      </c>
      <c r="M142">
        <v>92.7</v>
      </c>
      <c r="N142">
        <v>9.27E-10</v>
      </c>
      <c r="O142" s="1">
        <f>IF(Query2[[#This Row],[ranking]]=1,1,O141+1)</f>
        <v>15</v>
      </c>
    </row>
    <row r="143" spans="1:15" x14ac:dyDescent="0.3">
      <c r="A143" t="str">
        <f>IF(Query2[[#This Row],[ranking]]=1,Query2[[#This Row],[concatenationcolumn]],IF(Query2[[#This Row],[ranking]]=D142+1,Query2[[#This Row],[concatenationcolumn]],_xlfn.CONCAT(Query2[[#This Row],[wh]],"-",Query2[[#This Row],[Column1]])))</f>
        <v>31-1</v>
      </c>
      <c r="B143" s="1" t="s">
        <v>202</v>
      </c>
      <c r="C143">
        <v>31</v>
      </c>
      <c r="D143">
        <v>1</v>
      </c>
      <c r="E143" s="1" t="s">
        <v>358</v>
      </c>
      <c r="F143" s="1" t="s">
        <v>25</v>
      </c>
      <c r="G143" s="3">
        <v>43999</v>
      </c>
      <c r="H143">
        <v>24856.42</v>
      </c>
      <c r="I143">
        <v>61</v>
      </c>
      <c r="J143">
        <v>866</v>
      </c>
      <c r="K143">
        <v>0</v>
      </c>
      <c r="L143">
        <v>7728.32</v>
      </c>
      <c r="M143">
        <v>17128.099999999999</v>
      </c>
      <c r="N143">
        <v>7728.3200001712812</v>
      </c>
      <c r="O143" s="1">
        <f>IF(Query2[[#This Row],[ranking]]=1,1,O142+1)</f>
        <v>1</v>
      </c>
    </row>
    <row r="144" spans="1:15" x14ac:dyDescent="0.3">
      <c r="A144" t="str">
        <f>IF(Query2[[#This Row],[ranking]]=1,Query2[[#This Row],[concatenationcolumn]],IF(Query2[[#This Row],[ranking]]=D143+1,Query2[[#This Row],[concatenationcolumn]],_xlfn.CONCAT(Query2[[#This Row],[wh]],"-",Query2[[#This Row],[Column1]])))</f>
        <v>31-2</v>
      </c>
      <c r="B144" s="1" t="s">
        <v>203</v>
      </c>
      <c r="C144">
        <v>31</v>
      </c>
      <c r="D144">
        <v>2</v>
      </c>
      <c r="E144" s="1" t="s">
        <v>407</v>
      </c>
      <c r="F144" s="1" t="s">
        <v>24</v>
      </c>
      <c r="G144" s="3">
        <v>44000</v>
      </c>
      <c r="H144">
        <v>9688.89</v>
      </c>
      <c r="I144">
        <v>32</v>
      </c>
      <c r="J144">
        <v>299</v>
      </c>
      <c r="K144">
        <v>0</v>
      </c>
      <c r="L144">
        <v>5397.37</v>
      </c>
      <c r="M144">
        <v>4291.5200000000004</v>
      </c>
      <c r="N144">
        <v>5397.3700000429153</v>
      </c>
      <c r="O144" s="1">
        <f>IF(Query2[[#This Row],[ranking]]=1,1,O143+1)</f>
        <v>2</v>
      </c>
    </row>
    <row r="145" spans="1:15" x14ac:dyDescent="0.3">
      <c r="A145" t="str">
        <f>IF(Query2[[#This Row],[ranking]]=1,Query2[[#This Row],[concatenationcolumn]],IF(Query2[[#This Row],[ranking]]=D144+1,Query2[[#This Row],[concatenationcolumn]],_xlfn.CONCAT(Query2[[#This Row],[wh]],"-",Query2[[#This Row],[Column1]])))</f>
        <v>31-3</v>
      </c>
      <c r="B145" s="1" t="s">
        <v>204</v>
      </c>
      <c r="C145">
        <v>31</v>
      </c>
      <c r="D145">
        <v>3</v>
      </c>
      <c r="E145" s="1" t="s">
        <v>408</v>
      </c>
      <c r="F145" s="1" t="s">
        <v>148</v>
      </c>
      <c r="G145" s="3">
        <v>44000</v>
      </c>
      <c r="H145">
        <v>13195.6</v>
      </c>
      <c r="I145">
        <v>4</v>
      </c>
      <c r="J145">
        <v>1760</v>
      </c>
      <c r="K145">
        <v>0</v>
      </c>
      <c r="L145">
        <v>4195.6000000000004</v>
      </c>
      <c r="M145">
        <v>9000</v>
      </c>
      <c r="N145">
        <v>4195.6000000900003</v>
      </c>
      <c r="O145" s="1">
        <f>IF(Query2[[#This Row],[ranking]]=1,1,O144+1)</f>
        <v>3</v>
      </c>
    </row>
    <row r="146" spans="1:15" x14ac:dyDescent="0.3">
      <c r="A146" t="str">
        <f>IF(Query2[[#This Row],[ranking]]=1,Query2[[#This Row],[concatenationcolumn]],IF(Query2[[#This Row],[ranking]]=D145+1,Query2[[#This Row],[concatenationcolumn]],_xlfn.CONCAT(Query2[[#This Row],[wh]],"-",Query2[[#This Row],[Column1]])))</f>
        <v>31-4</v>
      </c>
      <c r="B146" s="1" t="s">
        <v>205</v>
      </c>
      <c r="C146">
        <v>31</v>
      </c>
      <c r="D146">
        <v>4</v>
      </c>
      <c r="E146" s="1" t="s">
        <v>409</v>
      </c>
      <c r="F146" s="1" t="s">
        <v>24</v>
      </c>
      <c r="G146" s="3">
        <v>44000</v>
      </c>
      <c r="H146">
        <v>4387.83</v>
      </c>
      <c r="I146">
        <v>7</v>
      </c>
      <c r="J146">
        <v>339</v>
      </c>
      <c r="K146">
        <v>0</v>
      </c>
      <c r="L146">
        <v>3412.8</v>
      </c>
      <c r="M146">
        <v>975.03</v>
      </c>
      <c r="N146">
        <v>3412.8000000097504</v>
      </c>
      <c r="O146" s="1">
        <f>IF(Query2[[#This Row],[ranking]]=1,1,O145+1)</f>
        <v>4</v>
      </c>
    </row>
    <row r="147" spans="1:15" x14ac:dyDescent="0.3">
      <c r="A147" t="str">
        <f>IF(Query2[[#This Row],[ranking]]=1,Query2[[#This Row],[concatenationcolumn]],IF(Query2[[#This Row],[ranking]]=D146+1,Query2[[#This Row],[concatenationcolumn]],_xlfn.CONCAT(Query2[[#This Row],[wh]],"-",Query2[[#This Row],[Column1]])))</f>
        <v>31-5</v>
      </c>
      <c r="B147" s="1" t="s">
        <v>262</v>
      </c>
      <c r="C147">
        <v>31</v>
      </c>
      <c r="D147">
        <v>5</v>
      </c>
      <c r="E147" s="1" t="s">
        <v>359</v>
      </c>
      <c r="F147" s="1" t="s">
        <v>34</v>
      </c>
      <c r="G147" s="3">
        <v>43999</v>
      </c>
      <c r="H147">
        <v>4474.26</v>
      </c>
      <c r="I147">
        <v>11</v>
      </c>
      <c r="J147">
        <v>204</v>
      </c>
      <c r="K147">
        <v>0</v>
      </c>
      <c r="L147">
        <v>3401.94</v>
      </c>
      <c r="M147">
        <v>1072.32</v>
      </c>
      <c r="N147">
        <v>3401.940000010723</v>
      </c>
      <c r="O147" s="1">
        <f>IF(Query2[[#This Row],[ranking]]=1,1,O146+1)</f>
        <v>5</v>
      </c>
    </row>
    <row r="148" spans="1:15" x14ac:dyDescent="0.3">
      <c r="A148" t="str">
        <f>IF(Query2[[#This Row],[ranking]]=1,Query2[[#This Row],[concatenationcolumn]],IF(Query2[[#This Row],[ranking]]=D147+1,Query2[[#This Row],[concatenationcolumn]],_xlfn.CONCAT(Query2[[#This Row],[wh]],"-",Query2[[#This Row],[Column1]])))</f>
        <v>31-6</v>
      </c>
      <c r="B148" s="1" t="s">
        <v>263</v>
      </c>
      <c r="C148">
        <v>31</v>
      </c>
      <c r="D148">
        <v>6</v>
      </c>
      <c r="E148" s="1" t="s">
        <v>410</v>
      </c>
      <c r="F148" s="1" t="s">
        <v>148</v>
      </c>
      <c r="G148" s="3">
        <v>44000</v>
      </c>
      <c r="H148">
        <v>6818.5</v>
      </c>
      <c r="I148">
        <v>6</v>
      </c>
      <c r="J148">
        <v>921</v>
      </c>
      <c r="K148">
        <v>0</v>
      </c>
      <c r="L148">
        <v>2761.6</v>
      </c>
      <c r="M148">
        <v>4056.9</v>
      </c>
      <c r="N148">
        <v>2761.6000000405688</v>
      </c>
      <c r="O148" s="1">
        <f>IF(Query2[[#This Row],[ranking]]=1,1,O147+1)</f>
        <v>6</v>
      </c>
    </row>
    <row r="149" spans="1:15" x14ac:dyDescent="0.3">
      <c r="A149" t="str">
        <f>IF(Query2[[#This Row],[ranking]]=1,Query2[[#This Row],[concatenationcolumn]],IF(Query2[[#This Row],[ranking]]=D148+1,Query2[[#This Row],[concatenationcolumn]],_xlfn.CONCAT(Query2[[#This Row],[wh]],"-",Query2[[#This Row],[Column1]])))</f>
        <v>31-7</v>
      </c>
      <c r="B149" s="1" t="s">
        <v>411</v>
      </c>
      <c r="C149">
        <v>31</v>
      </c>
      <c r="D149">
        <v>7</v>
      </c>
      <c r="E149" s="1" t="s">
        <v>412</v>
      </c>
      <c r="F149" s="1" t="s">
        <v>24</v>
      </c>
      <c r="G149" s="3">
        <v>44000</v>
      </c>
      <c r="H149">
        <v>4423.76</v>
      </c>
      <c r="I149">
        <v>11</v>
      </c>
      <c r="J149">
        <v>184</v>
      </c>
      <c r="K149">
        <v>0</v>
      </c>
      <c r="L149">
        <v>2369.96</v>
      </c>
      <c r="M149">
        <v>2053.8000000000002</v>
      </c>
      <c r="N149">
        <v>2369.9600000205378</v>
      </c>
      <c r="O149" s="1">
        <f>IF(Query2[[#This Row],[ranking]]=1,1,O148+1)</f>
        <v>7</v>
      </c>
    </row>
    <row r="150" spans="1:15" x14ac:dyDescent="0.3">
      <c r="A150" t="str">
        <f>IF(Query2[[#This Row],[ranking]]=1,Query2[[#This Row],[concatenationcolumn]],IF(Query2[[#This Row],[ranking]]=D149+1,Query2[[#This Row],[concatenationcolumn]],_xlfn.CONCAT(Query2[[#This Row],[wh]],"-",Query2[[#This Row],[Column1]])))</f>
        <v>31-8</v>
      </c>
      <c r="B150" s="1" t="s">
        <v>413</v>
      </c>
      <c r="C150">
        <v>31</v>
      </c>
      <c r="D150">
        <v>8</v>
      </c>
      <c r="E150" s="1" t="s">
        <v>414</v>
      </c>
      <c r="F150" s="1" t="s">
        <v>24</v>
      </c>
      <c r="G150" s="3">
        <v>44000</v>
      </c>
      <c r="H150">
        <v>2367.2600000000002</v>
      </c>
      <c r="I150">
        <v>4</v>
      </c>
      <c r="J150">
        <v>228</v>
      </c>
      <c r="K150">
        <v>0</v>
      </c>
      <c r="L150">
        <v>2367.2600000000002</v>
      </c>
      <c r="M150">
        <v>0</v>
      </c>
      <c r="N150">
        <v>2367.2600000000002</v>
      </c>
      <c r="O150" s="1">
        <f>IF(Query2[[#This Row],[ranking]]=1,1,O149+1)</f>
        <v>8</v>
      </c>
    </row>
    <row r="151" spans="1:15" x14ac:dyDescent="0.3">
      <c r="A151" t="str">
        <f>IF(Query2[[#This Row],[ranking]]=1,Query2[[#This Row],[concatenationcolumn]],IF(Query2[[#This Row],[ranking]]=D150+1,Query2[[#This Row],[concatenationcolumn]],_xlfn.CONCAT(Query2[[#This Row],[wh]],"-",Query2[[#This Row],[Column1]])))</f>
        <v>31-9</v>
      </c>
      <c r="B151" s="1" t="s">
        <v>415</v>
      </c>
      <c r="C151">
        <v>31</v>
      </c>
      <c r="D151">
        <v>9</v>
      </c>
      <c r="E151" s="1" t="s">
        <v>416</v>
      </c>
      <c r="F151" s="1" t="s">
        <v>29</v>
      </c>
      <c r="G151" s="3">
        <v>44000</v>
      </c>
      <c r="H151">
        <v>3033.08</v>
      </c>
      <c r="I151">
        <v>17</v>
      </c>
      <c r="J151">
        <v>134</v>
      </c>
      <c r="K151">
        <v>0</v>
      </c>
      <c r="L151">
        <v>1990.83</v>
      </c>
      <c r="M151">
        <v>1042.25</v>
      </c>
      <c r="N151">
        <v>1990.8300000104225</v>
      </c>
      <c r="O151" s="1">
        <f>IF(Query2[[#This Row],[ranking]]=1,1,O150+1)</f>
        <v>9</v>
      </c>
    </row>
    <row r="152" spans="1:15" x14ac:dyDescent="0.3">
      <c r="A152" t="str">
        <f>IF(Query2[[#This Row],[ranking]]=1,Query2[[#This Row],[concatenationcolumn]],IF(Query2[[#This Row],[ranking]]=D151+1,Query2[[#This Row],[concatenationcolumn]],_xlfn.CONCAT(Query2[[#This Row],[wh]],"-",Query2[[#This Row],[Column1]])))</f>
        <v>31-10</v>
      </c>
      <c r="B152" s="1" t="s">
        <v>417</v>
      </c>
      <c r="C152">
        <v>31</v>
      </c>
      <c r="D152">
        <v>10</v>
      </c>
      <c r="E152" s="1" t="s">
        <v>418</v>
      </c>
      <c r="F152" s="1" t="s">
        <v>24</v>
      </c>
      <c r="G152" s="3">
        <v>44000</v>
      </c>
      <c r="H152">
        <v>2354.64</v>
      </c>
      <c r="I152">
        <v>7</v>
      </c>
      <c r="J152">
        <v>150</v>
      </c>
      <c r="K152">
        <v>0</v>
      </c>
      <c r="L152">
        <v>1854.24</v>
      </c>
      <c r="M152">
        <v>500.4</v>
      </c>
      <c r="N152">
        <v>1854.240000005004</v>
      </c>
      <c r="O152" s="1">
        <f>IF(Query2[[#This Row],[ranking]]=1,1,O151+1)</f>
        <v>10</v>
      </c>
    </row>
    <row r="153" spans="1:15" x14ac:dyDescent="0.3">
      <c r="A153" t="str">
        <f>IF(Query2[[#This Row],[ranking]]=1,Query2[[#This Row],[concatenationcolumn]],IF(Query2[[#This Row],[ranking]]=D152+1,Query2[[#This Row],[concatenationcolumn]],_xlfn.CONCAT(Query2[[#This Row],[wh]],"-",Query2[[#This Row],[Column1]])))</f>
        <v>31-11</v>
      </c>
      <c r="B153" s="1" t="s">
        <v>419</v>
      </c>
      <c r="C153">
        <v>31</v>
      </c>
      <c r="D153">
        <v>11</v>
      </c>
      <c r="E153" s="1" t="s">
        <v>420</v>
      </c>
      <c r="F153" s="1" t="s">
        <v>29</v>
      </c>
      <c r="G153" s="3">
        <v>44000</v>
      </c>
      <c r="H153">
        <v>3114.02</v>
      </c>
      <c r="I153">
        <v>15</v>
      </c>
      <c r="J153">
        <v>264</v>
      </c>
      <c r="K153">
        <v>0</v>
      </c>
      <c r="L153">
        <v>1066.52</v>
      </c>
      <c r="M153">
        <v>2047.5</v>
      </c>
      <c r="N153">
        <v>1066.520000020475</v>
      </c>
      <c r="O153" s="1">
        <f>IF(Query2[[#This Row],[ranking]]=1,1,O152+1)</f>
        <v>11</v>
      </c>
    </row>
    <row r="154" spans="1:15" x14ac:dyDescent="0.3">
      <c r="A154" t="str">
        <f>IF(Query2[[#This Row],[ranking]]=1,Query2[[#This Row],[concatenationcolumn]],IF(Query2[[#This Row],[ranking]]=D153+1,Query2[[#This Row],[concatenationcolumn]],_xlfn.CONCAT(Query2[[#This Row],[wh]],"-",Query2[[#This Row],[Column1]])))</f>
        <v>31-12</v>
      </c>
      <c r="B154" s="1" t="s">
        <v>421</v>
      </c>
      <c r="C154">
        <v>31</v>
      </c>
      <c r="D154">
        <v>12</v>
      </c>
      <c r="E154" s="1" t="s">
        <v>422</v>
      </c>
      <c r="F154" s="1" t="s">
        <v>30</v>
      </c>
      <c r="G154" s="3">
        <v>44000</v>
      </c>
      <c r="H154">
        <v>3839.9</v>
      </c>
      <c r="I154">
        <v>18</v>
      </c>
      <c r="J154">
        <v>168</v>
      </c>
      <c r="K154">
        <v>0</v>
      </c>
      <c r="L154">
        <v>1009.56</v>
      </c>
      <c r="M154">
        <v>2830.34</v>
      </c>
      <c r="N154">
        <v>1009.5600000283034</v>
      </c>
      <c r="O154" s="1">
        <f>IF(Query2[[#This Row],[ranking]]=1,1,O153+1)</f>
        <v>12</v>
      </c>
    </row>
    <row r="155" spans="1:15" x14ac:dyDescent="0.3">
      <c r="A155" t="str">
        <f>IF(Query2[[#This Row],[ranking]]=1,Query2[[#This Row],[concatenationcolumn]],IF(Query2[[#This Row],[ranking]]=D154+1,Query2[[#This Row],[concatenationcolumn]],_xlfn.CONCAT(Query2[[#This Row],[wh]],"-",Query2[[#This Row],[Column1]])))</f>
        <v>31-13</v>
      </c>
      <c r="B155" s="1" t="s">
        <v>423</v>
      </c>
      <c r="C155">
        <v>31</v>
      </c>
      <c r="D155">
        <v>13</v>
      </c>
      <c r="E155" s="1" t="s">
        <v>424</v>
      </c>
      <c r="F155" s="1" t="s">
        <v>24</v>
      </c>
      <c r="G155" s="3">
        <v>44000</v>
      </c>
      <c r="H155">
        <v>2105.3200000000002</v>
      </c>
      <c r="I155">
        <v>7</v>
      </c>
      <c r="J155">
        <v>52</v>
      </c>
      <c r="K155">
        <v>0</v>
      </c>
      <c r="L155">
        <v>483.8</v>
      </c>
      <c r="M155">
        <v>1621.52</v>
      </c>
      <c r="N155">
        <v>483.80000001621522</v>
      </c>
      <c r="O155" s="1">
        <f>IF(Query2[[#This Row],[ranking]]=1,1,O154+1)</f>
        <v>13</v>
      </c>
    </row>
    <row r="156" spans="1:15" x14ac:dyDescent="0.3">
      <c r="A156" t="str">
        <f>IF(Query2[[#This Row],[ranking]]=1,Query2[[#This Row],[concatenationcolumn]],IF(Query2[[#This Row],[ranking]]=D155+1,Query2[[#This Row],[concatenationcolumn]],_xlfn.CONCAT(Query2[[#This Row],[wh]],"-",Query2[[#This Row],[Column1]])))</f>
        <v>31-14</v>
      </c>
      <c r="B156" s="1" t="s">
        <v>425</v>
      </c>
      <c r="C156">
        <v>31</v>
      </c>
      <c r="D156">
        <v>14</v>
      </c>
      <c r="E156" s="1" t="s">
        <v>426</v>
      </c>
      <c r="F156" s="1" t="s">
        <v>427</v>
      </c>
      <c r="G156" s="3">
        <v>44000</v>
      </c>
      <c r="H156">
        <v>3453.18</v>
      </c>
      <c r="I156">
        <v>4</v>
      </c>
      <c r="J156">
        <v>606</v>
      </c>
      <c r="K156">
        <v>0</v>
      </c>
      <c r="L156">
        <v>410.1</v>
      </c>
      <c r="M156">
        <v>3043.08</v>
      </c>
      <c r="N156">
        <v>410.10000003043081</v>
      </c>
      <c r="O156" s="1">
        <f>IF(Query2[[#This Row],[ranking]]=1,1,O155+1)</f>
        <v>14</v>
      </c>
    </row>
    <row r="157" spans="1:15" x14ac:dyDescent="0.3">
      <c r="A157" t="str">
        <f>IF(Query2[[#This Row],[ranking]]=1,Query2[[#This Row],[concatenationcolumn]],IF(Query2[[#This Row],[ranking]]=D156+1,Query2[[#This Row],[concatenationcolumn]],_xlfn.CONCAT(Query2[[#This Row],[wh]],"-",Query2[[#This Row],[Column1]])))</f>
        <v>31-15</v>
      </c>
      <c r="B157" s="1" t="s">
        <v>428</v>
      </c>
      <c r="C157">
        <v>31</v>
      </c>
      <c r="D157">
        <v>15</v>
      </c>
      <c r="E157" s="1" t="s">
        <v>429</v>
      </c>
      <c r="F157" s="1" t="s">
        <v>24</v>
      </c>
      <c r="G157" s="3">
        <v>44000</v>
      </c>
      <c r="H157">
        <v>367.2</v>
      </c>
      <c r="I157">
        <v>1</v>
      </c>
      <c r="J157">
        <v>24</v>
      </c>
      <c r="K157">
        <v>0</v>
      </c>
      <c r="L157">
        <v>367.2</v>
      </c>
      <c r="M157">
        <v>0</v>
      </c>
      <c r="N157">
        <v>367.2</v>
      </c>
      <c r="O157" s="1">
        <f>IF(Query2[[#This Row],[ranking]]=1,1,O156+1)</f>
        <v>15</v>
      </c>
    </row>
    <row r="158" spans="1:15" x14ac:dyDescent="0.3">
      <c r="A158" t="str">
        <f>IF(Query2[[#This Row],[ranking]]=1,Query2[[#This Row],[concatenationcolumn]],IF(Query2[[#This Row],[ranking]]=D157+1,Query2[[#This Row],[concatenationcolumn]],_xlfn.CONCAT(Query2[[#This Row],[wh]],"-",Query2[[#This Row],[Column1]])))</f>
        <v>31-16</v>
      </c>
      <c r="B158" s="1" t="s">
        <v>430</v>
      </c>
      <c r="C158">
        <v>31</v>
      </c>
      <c r="D158">
        <v>16</v>
      </c>
      <c r="E158" s="1" t="s">
        <v>360</v>
      </c>
      <c r="F158" s="1" t="s">
        <v>37</v>
      </c>
      <c r="G158" s="3">
        <v>43999</v>
      </c>
      <c r="H158">
        <v>2142.5700000000002</v>
      </c>
      <c r="I158">
        <v>6</v>
      </c>
      <c r="J158">
        <v>84</v>
      </c>
      <c r="K158">
        <v>0</v>
      </c>
      <c r="L158">
        <v>42.84</v>
      </c>
      <c r="M158">
        <v>2099.73</v>
      </c>
      <c r="N158">
        <v>42.840000020997302</v>
      </c>
      <c r="O158" s="1">
        <f>IF(Query2[[#This Row],[ranking]]=1,1,O157+1)</f>
        <v>16</v>
      </c>
    </row>
    <row r="159" spans="1:15" x14ac:dyDescent="0.3">
      <c r="A159" t="str">
        <f>IF(Query2[[#This Row],[ranking]]=1,Query2[[#This Row],[concatenationcolumn]],IF(Query2[[#This Row],[ranking]]=D158+1,Query2[[#This Row],[concatenationcolumn]],_xlfn.CONCAT(Query2[[#This Row],[wh]],"-",Query2[[#This Row],[Column1]])))</f>
        <v>31-17</v>
      </c>
      <c r="B159" s="1" t="s">
        <v>431</v>
      </c>
      <c r="C159">
        <v>31</v>
      </c>
      <c r="D159">
        <v>17</v>
      </c>
      <c r="E159" s="1" t="s">
        <v>432</v>
      </c>
      <c r="F159" s="1" t="s">
        <v>344</v>
      </c>
      <c r="G159" s="3">
        <v>44000</v>
      </c>
      <c r="H159">
        <v>4927.88</v>
      </c>
      <c r="I159">
        <v>18</v>
      </c>
      <c r="J159">
        <v>112</v>
      </c>
      <c r="K159">
        <v>0</v>
      </c>
      <c r="L159">
        <v>0</v>
      </c>
      <c r="M159">
        <v>4927.88</v>
      </c>
      <c r="N159">
        <v>4.9278800000000003E-8</v>
      </c>
      <c r="O159" s="1">
        <f>IF(Query2[[#This Row],[ranking]]=1,1,O158+1)</f>
        <v>17</v>
      </c>
    </row>
    <row r="160" spans="1:15" x14ac:dyDescent="0.3">
      <c r="A160" t="str">
        <f>IF(Query2[[#This Row],[ranking]]=1,Query2[[#This Row],[concatenationcolumn]],IF(Query2[[#This Row],[ranking]]=D159+1,Query2[[#This Row],[concatenationcolumn]],_xlfn.CONCAT(Query2[[#This Row],[wh]],"-",Query2[[#This Row],[Column1]])))</f>
        <v>31-18</v>
      </c>
      <c r="B160" s="1" t="s">
        <v>433</v>
      </c>
      <c r="C160">
        <v>31</v>
      </c>
      <c r="D160">
        <v>18</v>
      </c>
      <c r="E160" s="1" t="s">
        <v>261</v>
      </c>
      <c r="F160" s="1" t="s">
        <v>33</v>
      </c>
      <c r="G160" s="3">
        <v>43997</v>
      </c>
      <c r="H160">
        <v>60.3</v>
      </c>
      <c r="I160">
        <v>2</v>
      </c>
      <c r="J160">
        <v>11</v>
      </c>
      <c r="K160">
        <v>0</v>
      </c>
      <c r="L160">
        <v>0</v>
      </c>
      <c r="M160">
        <v>60.3</v>
      </c>
      <c r="N160">
        <v>6.0299999999999999E-10</v>
      </c>
      <c r="O160" s="1">
        <f>IF(Query2[[#This Row],[ranking]]=1,1,O159+1)</f>
        <v>18</v>
      </c>
    </row>
    <row r="161" spans="1:15" x14ac:dyDescent="0.3">
      <c r="A161" t="str">
        <f>IF(Query2[[#This Row],[ranking]]=1,Query2[[#This Row],[concatenationcolumn]],IF(Query2[[#This Row],[ranking]]=D160+1,Query2[[#This Row],[concatenationcolumn]],_xlfn.CONCAT(Query2[[#This Row],[wh]],"-",Query2[[#This Row],[Column1]])))</f>
        <v>32-1</v>
      </c>
      <c r="B161" s="1" t="s">
        <v>264</v>
      </c>
      <c r="C161">
        <v>32</v>
      </c>
      <c r="D161">
        <v>1</v>
      </c>
      <c r="E161" s="1" t="s">
        <v>434</v>
      </c>
      <c r="F161" s="1" t="s">
        <v>24</v>
      </c>
      <c r="G161" s="3">
        <v>44000</v>
      </c>
      <c r="H161">
        <v>2531.1799999999998</v>
      </c>
      <c r="I161">
        <v>3</v>
      </c>
      <c r="J161">
        <v>101</v>
      </c>
      <c r="K161">
        <v>0</v>
      </c>
      <c r="L161">
        <v>2182.08</v>
      </c>
      <c r="M161">
        <v>349.1</v>
      </c>
      <c r="N161">
        <v>2182.080000003491</v>
      </c>
      <c r="O161" s="1">
        <f>IF(Query2[[#This Row],[ranking]]=1,1,O160+1)</f>
        <v>1</v>
      </c>
    </row>
    <row r="162" spans="1:15" x14ac:dyDescent="0.3">
      <c r="A162" t="str">
        <f>IF(Query2[[#This Row],[ranking]]=1,Query2[[#This Row],[concatenationcolumn]],IF(Query2[[#This Row],[ranking]]=D161+1,Query2[[#This Row],[concatenationcolumn]],_xlfn.CONCAT(Query2[[#This Row],[wh]],"-",Query2[[#This Row],[Column1]])))</f>
        <v>32-2</v>
      </c>
      <c r="B162" s="1" t="s">
        <v>435</v>
      </c>
      <c r="C162">
        <v>32</v>
      </c>
      <c r="D162">
        <v>2</v>
      </c>
      <c r="E162" s="1" t="s">
        <v>436</v>
      </c>
      <c r="F162" s="1" t="s">
        <v>34</v>
      </c>
      <c r="G162" s="3">
        <v>44000</v>
      </c>
      <c r="H162">
        <v>7407.4</v>
      </c>
      <c r="I162">
        <v>7</v>
      </c>
      <c r="J162">
        <v>308</v>
      </c>
      <c r="K162">
        <v>0</v>
      </c>
      <c r="L162">
        <v>1745.4</v>
      </c>
      <c r="M162">
        <v>5662</v>
      </c>
      <c r="N162">
        <v>1745.40000005662</v>
      </c>
      <c r="O162" s="1">
        <f>IF(Query2[[#This Row],[ranking]]=1,1,O161+1)</f>
        <v>2</v>
      </c>
    </row>
    <row r="163" spans="1:15" x14ac:dyDescent="0.3">
      <c r="A163" t="str">
        <f>IF(Query2[[#This Row],[ranking]]=1,Query2[[#This Row],[concatenationcolumn]],IF(Query2[[#This Row],[ranking]]=D162+1,Query2[[#This Row],[concatenationcolumn]],_xlfn.CONCAT(Query2[[#This Row],[wh]],"-",Query2[[#This Row],[Column1]])))</f>
        <v>32-3</v>
      </c>
      <c r="B163" s="1" t="s">
        <v>437</v>
      </c>
      <c r="C163">
        <v>32</v>
      </c>
      <c r="D163">
        <v>3</v>
      </c>
      <c r="E163" s="1" t="s">
        <v>438</v>
      </c>
      <c r="F163" s="1" t="s">
        <v>29</v>
      </c>
      <c r="G163" s="3">
        <v>44000</v>
      </c>
      <c r="H163">
        <v>327.96</v>
      </c>
      <c r="I163">
        <v>3</v>
      </c>
      <c r="J163">
        <v>36</v>
      </c>
      <c r="K163">
        <v>0</v>
      </c>
      <c r="L163">
        <v>40.92</v>
      </c>
      <c r="M163">
        <v>287.04000000000002</v>
      </c>
      <c r="N163">
        <v>40.920000002870403</v>
      </c>
      <c r="O163" s="1">
        <f>IF(Query2[[#This Row],[ranking]]=1,1,O162+1)</f>
        <v>3</v>
      </c>
    </row>
    <row r="164" spans="1:15" x14ac:dyDescent="0.3">
      <c r="A164" t="str">
        <f>IF(Query2[[#This Row],[ranking]]=1,Query2[[#This Row],[concatenationcolumn]],IF(Query2[[#This Row],[ranking]]=D163+1,Query2[[#This Row],[concatenationcolumn]],_xlfn.CONCAT(Query2[[#This Row],[wh]],"-",Query2[[#This Row],[Column1]])))</f>
        <v>33-1</v>
      </c>
      <c r="B164" s="1" t="s">
        <v>206</v>
      </c>
      <c r="C164">
        <v>33</v>
      </c>
      <c r="D164">
        <v>1</v>
      </c>
      <c r="E164" s="1" t="s">
        <v>303</v>
      </c>
      <c r="F164" s="1" t="s">
        <v>24</v>
      </c>
      <c r="G164" s="3">
        <v>43998</v>
      </c>
      <c r="H164">
        <v>20308.29</v>
      </c>
      <c r="I164">
        <v>23</v>
      </c>
      <c r="J164">
        <v>672</v>
      </c>
      <c r="K164">
        <v>0</v>
      </c>
      <c r="L164">
        <v>6487.71</v>
      </c>
      <c r="M164">
        <v>13820.58</v>
      </c>
      <c r="N164">
        <v>6487.7100001382059</v>
      </c>
      <c r="O164" s="1">
        <f>IF(Query2[[#This Row],[ranking]]=1,1,O163+1)</f>
        <v>1</v>
      </c>
    </row>
    <row r="165" spans="1:15" x14ac:dyDescent="0.3">
      <c r="A165" t="str">
        <f>IF(Query2[[#This Row],[ranking]]=1,Query2[[#This Row],[concatenationcolumn]],IF(Query2[[#This Row],[ranking]]=D164+1,Query2[[#This Row],[concatenationcolumn]],_xlfn.CONCAT(Query2[[#This Row],[wh]],"-",Query2[[#This Row],[Column1]])))</f>
        <v>33-2</v>
      </c>
      <c r="B165" s="1" t="s">
        <v>207</v>
      </c>
      <c r="C165">
        <v>33</v>
      </c>
      <c r="D165">
        <v>2</v>
      </c>
      <c r="E165" s="1" t="s">
        <v>361</v>
      </c>
      <c r="F165" s="1" t="s">
        <v>18</v>
      </c>
      <c r="G165" s="3">
        <v>43999</v>
      </c>
      <c r="H165">
        <v>2725</v>
      </c>
      <c r="I165">
        <v>7</v>
      </c>
      <c r="J165">
        <v>178</v>
      </c>
      <c r="K165">
        <v>0</v>
      </c>
      <c r="L165">
        <v>1968.46</v>
      </c>
      <c r="M165">
        <v>756.54</v>
      </c>
      <c r="N165">
        <v>1968.4600000075657</v>
      </c>
      <c r="O165" s="1">
        <f>IF(Query2[[#This Row],[ranking]]=1,1,O164+1)</f>
        <v>2</v>
      </c>
    </row>
    <row r="166" spans="1:15" x14ac:dyDescent="0.3">
      <c r="A166" t="str">
        <f>IF(Query2[[#This Row],[ranking]]=1,Query2[[#This Row],[concatenationcolumn]],IF(Query2[[#This Row],[ranking]]=D165+1,Query2[[#This Row],[concatenationcolumn]],_xlfn.CONCAT(Query2[[#This Row],[wh]],"-",Query2[[#This Row],[Column1]])))</f>
        <v>33-3</v>
      </c>
      <c r="B166" s="1" t="s">
        <v>208</v>
      </c>
      <c r="C166">
        <v>33</v>
      </c>
      <c r="D166">
        <v>3</v>
      </c>
      <c r="E166" s="1" t="s">
        <v>362</v>
      </c>
      <c r="F166" s="1" t="s">
        <v>18</v>
      </c>
      <c r="G166" s="3">
        <v>43999</v>
      </c>
      <c r="H166">
        <v>1150.96</v>
      </c>
      <c r="I166">
        <v>7</v>
      </c>
      <c r="J166">
        <v>76</v>
      </c>
      <c r="K166">
        <v>0</v>
      </c>
      <c r="L166">
        <v>773.02</v>
      </c>
      <c r="M166">
        <v>377.94</v>
      </c>
      <c r="N166">
        <v>773.02000000377939</v>
      </c>
      <c r="O166" s="1">
        <f>IF(Query2[[#This Row],[ranking]]=1,1,O165+1)</f>
        <v>3</v>
      </c>
    </row>
    <row r="167" spans="1:15" x14ac:dyDescent="0.3">
      <c r="A167" t="str">
        <f>IF(Query2[[#This Row],[ranking]]=1,Query2[[#This Row],[concatenationcolumn]],IF(Query2[[#This Row],[ranking]]=D166+1,Query2[[#This Row],[concatenationcolumn]],_xlfn.CONCAT(Query2[[#This Row],[wh]],"-",Query2[[#This Row],[Column1]])))</f>
        <v>33-4</v>
      </c>
      <c r="B167" s="1" t="s">
        <v>209</v>
      </c>
      <c r="C167">
        <v>33</v>
      </c>
      <c r="D167">
        <v>4</v>
      </c>
      <c r="E167" s="1" t="s">
        <v>363</v>
      </c>
      <c r="F167" s="1" t="s">
        <v>18</v>
      </c>
      <c r="G167" s="3">
        <v>43999</v>
      </c>
      <c r="H167">
        <v>1199.24</v>
      </c>
      <c r="I167">
        <v>6</v>
      </c>
      <c r="J167">
        <v>80</v>
      </c>
      <c r="K167">
        <v>0</v>
      </c>
      <c r="L167">
        <v>709.82</v>
      </c>
      <c r="M167">
        <v>489.42</v>
      </c>
      <c r="N167">
        <v>709.82000000489415</v>
      </c>
      <c r="O167" s="1">
        <f>IF(Query2[[#This Row],[ranking]]=1,1,O166+1)</f>
        <v>4</v>
      </c>
    </row>
    <row r="168" spans="1:15" x14ac:dyDescent="0.3">
      <c r="A168" t="str">
        <f>IF(Query2[[#This Row],[ranking]]=1,Query2[[#This Row],[concatenationcolumn]],IF(Query2[[#This Row],[ranking]]=D167+1,Query2[[#This Row],[concatenationcolumn]],_xlfn.CONCAT(Query2[[#This Row],[wh]],"-",Query2[[#This Row],[Column1]])))</f>
        <v>33-5</v>
      </c>
      <c r="B168" s="1" t="s">
        <v>210</v>
      </c>
      <c r="C168">
        <v>33</v>
      </c>
      <c r="D168">
        <v>5</v>
      </c>
      <c r="E168" s="1" t="s">
        <v>304</v>
      </c>
      <c r="F168" s="1" t="s">
        <v>305</v>
      </c>
      <c r="G168" s="3">
        <v>43998</v>
      </c>
      <c r="H168">
        <v>823.82</v>
      </c>
      <c r="I168">
        <v>3</v>
      </c>
      <c r="J168">
        <v>27</v>
      </c>
      <c r="K168">
        <v>0</v>
      </c>
      <c r="L168">
        <v>338.76</v>
      </c>
      <c r="M168">
        <v>485.06</v>
      </c>
      <c r="N168">
        <v>338.76000000485061</v>
      </c>
      <c r="O168" s="1">
        <f>IF(Query2[[#This Row],[ranking]]=1,1,O167+1)</f>
        <v>5</v>
      </c>
    </row>
    <row r="169" spans="1:15" x14ac:dyDescent="0.3">
      <c r="A169" t="str">
        <f>IF(Query2[[#This Row],[ranking]]=1,Query2[[#This Row],[concatenationcolumn]],IF(Query2[[#This Row],[ranking]]=D168+1,Query2[[#This Row],[concatenationcolumn]],_xlfn.CONCAT(Query2[[#This Row],[wh]],"-",Query2[[#This Row],[Column1]])))</f>
        <v>33-6</v>
      </c>
      <c r="B169" s="1" t="s">
        <v>211</v>
      </c>
      <c r="C169">
        <v>33</v>
      </c>
      <c r="D169">
        <v>6</v>
      </c>
      <c r="E169" s="1" t="s">
        <v>439</v>
      </c>
      <c r="F169" s="1" t="s">
        <v>34</v>
      </c>
      <c r="G169" s="3">
        <v>44000</v>
      </c>
      <c r="H169">
        <v>303.31</v>
      </c>
      <c r="I169">
        <v>2</v>
      </c>
      <c r="J169">
        <v>3</v>
      </c>
      <c r="K169">
        <v>0</v>
      </c>
      <c r="L169">
        <v>265.89999999999998</v>
      </c>
      <c r="M169">
        <v>37.409999999999997</v>
      </c>
      <c r="N169">
        <v>265.90000000037412</v>
      </c>
      <c r="O169" s="1">
        <f>IF(Query2[[#This Row],[ranking]]=1,1,O168+1)</f>
        <v>6</v>
      </c>
    </row>
    <row r="170" spans="1:15" x14ac:dyDescent="0.3">
      <c r="A170" t="str">
        <f>IF(Query2[[#This Row],[ranking]]=1,Query2[[#This Row],[concatenationcolumn]],IF(Query2[[#This Row],[ranking]]=D169+1,Query2[[#This Row],[concatenationcolumn]],_xlfn.CONCAT(Query2[[#This Row],[wh]],"-",Query2[[#This Row],[Column1]])))</f>
        <v>33-7</v>
      </c>
      <c r="B170" s="1" t="s">
        <v>364</v>
      </c>
      <c r="C170">
        <v>33</v>
      </c>
      <c r="D170">
        <v>7</v>
      </c>
      <c r="E170" s="1" t="s">
        <v>266</v>
      </c>
      <c r="F170" s="1" t="s">
        <v>267</v>
      </c>
      <c r="G170" s="3">
        <v>43997</v>
      </c>
      <c r="H170">
        <v>64.739999999999995</v>
      </c>
      <c r="I170">
        <v>1</v>
      </c>
      <c r="J170">
        <v>6</v>
      </c>
      <c r="K170">
        <v>0</v>
      </c>
      <c r="L170">
        <v>64.739999999999995</v>
      </c>
      <c r="M170">
        <v>0</v>
      </c>
      <c r="N170">
        <v>64.739999999999995</v>
      </c>
      <c r="O170" s="1">
        <f>IF(Query2[[#This Row],[ranking]]=1,1,O169+1)</f>
        <v>7</v>
      </c>
    </row>
    <row r="171" spans="1:15" x14ac:dyDescent="0.3">
      <c r="A171" t="str">
        <f>IF(Query2[[#This Row],[ranking]]=1,Query2[[#This Row],[concatenationcolumn]],IF(Query2[[#This Row],[ranking]]=D170+1,Query2[[#This Row],[concatenationcolumn]],_xlfn.CONCAT(Query2[[#This Row],[wh]],"-",Query2[[#This Row],[Column1]])))</f>
        <v>33-8</v>
      </c>
      <c r="B171" s="1" t="s">
        <v>365</v>
      </c>
      <c r="C171">
        <v>33</v>
      </c>
      <c r="D171">
        <v>8</v>
      </c>
      <c r="E171" s="1" t="s">
        <v>306</v>
      </c>
      <c r="F171" s="1" t="s">
        <v>30</v>
      </c>
      <c r="G171" s="3">
        <v>43998</v>
      </c>
      <c r="H171">
        <v>226.86</v>
      </c>
      <c r="I171">
        <v>2</v>
      </c>
      <c r="J171">
        <v>12</v>
      </c>
      <c r="K171">
        <v>0</v>
      </c>
      <c r="L171">
        <v>0</v>
      </c>
      <c r="M171">
        <v>226.86</v>
      </c>
      <c r="N171">
        <v>2.2685999999999998E-9</v>
      </c>
      <c r="O171" s="1">
        <f>IF(Query2[[#This Row],[ranking]]=1,1,O170+1)</f>
        <v>8</v>
      </c>
    </row>
    <row r="172" spans="1:15" x14ac:dyDescent="0.3">
      <c r="A172" t="str">
        <f>IF(Query2[[#This Row],[ranking]]=1,Query2[[#This Row],[concatenationcolumn]],IF(Query2[[#This Row],[ranking]]=D171+1,Query2[[#This Row],[concatenationcolumn]],_xlfn.CONCAT(Query2[[#This Row],[wh]],"-",Query2[[#This Row],[Column1]])))</f>
        <v>34-1</v>
      </c>
      <c r="B172" s="1" t="s">
        <v>212</v>
      </c>
      <c r="C172">
        <v>34</v>
      </c>
      <c r="D172">
        <v>1</v>
      </c>
      <c r="E172" s="1" t="s">
        <v>440</v>
      </c>
      <c r="F172" s="1" t="s">
        <v>18</v>
      </c>
      <c r="G172" s="3">
        <v>44000</v>
      </c>
      <c r="H172">
        <v>7508.16</v>
      </c>
      <c r="I172">
        <v>43</v>
      </c>
      <c r="J172">
        <v>662</v>
      </c>
      <c r="K172">
        <v>270</v>
      </c>
      <c r="L172">
        <v>2102.7399999999998</v>
      </c>
      <c r="M172">
        <v>5135.42</v>
      </c>
      <c r="N172">
        <v>2237.7400000513544</v>
      </c>
      <c r="O172" s="1">
        <f>IF(Query2[[#This Row],[ranking]]=1,1,O171+1)</f>
        <v>1</v>
      </c>
    </row>
    <row r="173" spans="1:15" x14ac:dyDescent="0.3">
      <c r="A173" t="str">
        <f>IF(Query2[[#This Row],[ranking]]=1,Query2[[#This Row],[concatenationcolumn]],IF(Query2[[#This Row],[ranking]]=D172+1,Query2[[#This Row],[concatenationcolumn]],_xlfn.CONCAT(Query2[[#This Row],[wh]],"-",Query2[[#This Row],[Column1]])))</f>
        <v>34-2</v>
      </c>
      <c r="B173" s="1" t="s">
        <v>441</v>
      </c>
      <c r="C173">
        <v>34</v>
      </c>
      <c r="D173">
        <v>2</v>
      </c>
      <c r="E173" s="1" t="s">
        <v>442</v>
      </c>
      <c r="F173" s="1" t="s">
        <v>18</v>
      </c>
      <c r="G173" s="3">
        <v>44000</v>
      </c>
      <c r="H173">
        <v>2128.7399999999998</v>
      </c>
      <c r="I173">
        <v>13</v>
      </c>
      <c r="J173">
        <v>205</v>
      </c>
      <c r="K173">
        <v>0</v>
      </c>
      <c r="L173">
        <v>1679.7</v>
      </c>
      <c r="M173">
        <v>449.04</v>
      </c>
      <c r="N173">
        <v>1679.7000000044904</v>
      </c>
      <c r="O173" s="1">
        <f>IF(Query2[[#This Row],[ranking]]=1,1,O172+1)</f>
        <v>2</v>
      </c>
    </row>
    <row r="174" spans="1:15" x14ac:dyDescent="0.3">
      <c r="A174" t="str">
        <f>IF(Query2[[#This Row],[ranking]]=1,Query2[[#This Row],[concatenationcolumn]],IF(Query2[[#This Row],[ranking]]=D173+1,Query2[[#This Row],[concatenationcolumn]],_xlfn.CONCAT(Query2[[#This Row],[wh]],"-",Query2[[#This Row],[Column1]])))</f>
        <v>34-3</v>
      </c>
      <c r="B174" s="1" t="s">
        <v>443</v>
      </c>
      <c r="C174">
        <v>34</v>
      </c>
      <c r="D174">
        <v>3</v>
      </c>
      <c r="E174" s="1" t="s">
        <v>444</v>
      </c>
      <c r="F174" s="1" t="s">
        <v>265</v>
      </c>
      <c r="G174" s="3">
        <v>44000</v>
      </c>
      <c r="H174">
        <v>11024.18</v>
      </c>
      <c r="I174">
        <v>16</v>
      </c>
      <c r="J174">
        <v>528</v>
      </c>
      <c r="K174">
        <v>0</v>
      </c>
      <c r="L174">
        <v>519.98</v>
      </c>
      <c r="M174">
        <v>10504.2</v>
      </c>
      <c r="N174">
        <v>519.980000105042</v>
      </c>
      <c r="O174" s="1">
        <f>IF(Query2[[#This Row],[ranking]]=1,1,O173+1)</f>
        <v>3</v>
      </c>
    </row>
    <row r="175" spans="1:15" x14ac:dyDescent="0.3">
      <c r="A175" t="str">
        <f>IF(Query2[[#This Row],[ranking]]=1,Query2[[#This Row],[concatenationcolumn]],IF(Query2[[#This Row],[ranking]]=D174+1,Query2[[#This Row],[concatenationcolumn]],_xlfn.CONCAT(Query2[[#This Row],[wh]],"-",Query2[[#This Row],[Column1]])))</f>
        <v>34-4</v>
      </c>
      <c r="B175" s="1" t="s">
        <v>445</v>
      </c>
      <c r="C175">
        <v>34</v>
      </c>
      <c r="D175">
        <v>4</v>
      </c>
      <c r="E175" s="1" t="s">
        <v>446</v>
      </c>
      <c r="F175" s="1" t="s">
        <v>18</v>
      </c>
      <c r="G175" s="3">
        <v>44000</v>
      </c>
      <c r="H175">
        <v>623.6</v>
      </c>
      <c r="I175">
        <v>7</v>
      </c>
      <c r="J175">
        <v>68</v>
      </c>
      <c r="K175">
        <v>0</v>
      </c>
      <c r="L175">
        <v>401.12</v>
      </c>
      <c r="M175">
        <v>222.48</v>
      </c>
      <c r="N175">
        <v>401.1200000022248</v>
      </c>
      <c r="O175" s="1">
        <f>IF(Query2[[#This Row],[ranking]]=1,1,O174+1)</f>
        <v>4</v>
      </c>
    </row>
    <row r="176" spans="1:15" x14ac:dyDescent="0.3">
      <c r="A176" t="str">
        <f>IF(Query2[[#This Row],[ranking]]=1,Query2[[#This Row],[concatenationcolumn]],IF(Query2[[#This Row],[ranking]]=D175+1,Query2[[#This Row],[concatenationcolumn]],_xlfn.CONCAT(Query2[[#This Row],[wh]],"-",Query2[[#This Row],[Column1]])))</f>
        <v>42-1</v>
      </c>
      <c r="B176" s="1" t="s">
        <v>213</v>
      </c>
      <c r="C176">
        <v>42</v>
      </c>
      <c r="D176">
        <v>1</v>
      </c>
      <c r="E176" s="1" t="s">
        <v>307</v>
      </c>
      <c r="F176" s="1" t="s">
        <v>32</v>
      </c>
      <c r="G176" s="3">
        <v>43998</v>
      </c>
      <c r="H176">
        <v>7195.18</v>
      </c>
      <c r="I176">
        <v>47</v>
      </c>
      <c r="J176">
        <v>174</v>
      </c>
      <c r="K176">
        <v>0</v>
      </c>
      <c r="L176">
        <v>4783.26</v>
      </c>
      <c r="M176">
        <v>2411.92</v>
      </c>
      <c r="N176">
        <v>4783.2600000241191</v>
      </c>
      <c r="O176" s="1">
        <f>IF(Query2[[#This Row],[ranking]]=1,1,O175+1)</f>
        <v>1</v>
      </c>
    </row>
    <row r="177" spans="1:15" x14ac:dyDescent="0.3">
      <c r="A177" t="str">
        <f>IF(Query2[[#This Row],[ranking]]=1,Query2[[#This Row],[concatenationcolumn]],IF(Query2[[#This Row],[ranking]]=D176+1,Query2[[#This Row],[concatenationcolumn]],_xlfn.CONCAT(Query2[[#This Row],[wh]],"-",Query2[[#This Row],[Column1]])))</f>
        <v>42-2</v>
      </c>
      <c r="B177" s="1" t="s">
        <v>214</v>
      </c>
      <c r="C177">
        <v>42</v>
      </c>
      <c r="D177">
        <v>2</v>
      </c>
      <c r="E177" s="1" t="s">
        <v>308</v>
      </c>
      <c r="F177" s="1" t="s">
        <v>156</v>
      </c>
      <c r="G177" s="3">
        <v>43998</v>
      </c>
      <c r="H177">
        <v>7525.44</v>
      </c>
      <c r="I177">
        <v>16</v>
      </c>
      <c r="J177">
        <v>322</v>
      </c>
      <c r="K177">
        <v>0</v>
      </c>
      <c r="L177">
        <v>3463.36</v>
      </c>
      <c r="M177">
        <v>4062.08</v>
      </c>
      <c r="N177">
        <v>3463.3600000406209</v>
      </c>
      <c r="O177" s="1">
        <f>IF(Query2[[#This Row],[ranking]]=1,1,O176+1)</f>
        <v>2</v>
      </c>
    </row>
    <row r="178" spans="1:15" x14ac:dyDescent="0.3">
      <c r="A178" t="str">
        <f>IF(Query2[[#This Row],[ranking]]=1,Query2[[#This Row],[concatenationcolumn]],IF(Query2[[#This Row],[ranking]]=D177+1,Query2[[#This Row],[concatenationcolumn]],_xlfn.CONCAT(Query2[[#This Row],[wh]],"-",Query2[[#This Row],[Column1]])))</f>
        <v>42-3</v>
      </c>
      <c r="B178" s="1" t="s">
        <v>215</v>
      </c>
      <c r="C178">
        <v>42</v>
      </c>
      <c r="D178">
        <v>3</v>
      </c>
      <c r="E178" s="1" t="s">
        <v>366</v>
      </c>
      <c r="F178" s="1" t="s">
        <v>34</v>
      </c>
      <c r="G178" s="3">
        <v>43999</v>
      </c>
      <c r="H178">
        <v>8436.74</v>
      </c>
      <c r="I178">
        <v>28</v>
      </c>
      <c r="J178">
        <v>361</v>
      </c>
      <c r="K178">
        <v>0</v>
      </c>
      <c r="L178">
        <v>3297.5</v>
      </c>
      <c r="M178">
        <v>5139.24</v>
      </c>
      <c r="N178">
        <v>3297.5000000513924</v>
      </c>
      <c r="O178" s="1">
        <f>IF(Query2[[#This Row],[ranking]]=1,1,O177+1)</f>
        <v>3</v>
      </c>
    </row>
    <row r="179" spans="1:15" x14ac:dyDescent="0.3">
      <c r="A179" t="str">
        <f>IF(Query2[[#This Row],[ranking]]=1,Query2[[#This Row],[concatenationcolumn]],IF(Query2[[#This Row],[ranking]]=D178+1,Query2[[#This Row],[concatenationcolumn]],_xlfn.CONCAT(Query2[[#This Row],[wh]],"-",Query2[[#This Row],[Column1]])))</f>
        <v>42-4</v>
      </c>
      <c r="B179" s="1" t="s">
        <v>216</v>
      </c>
      <c r="C179">
        <v>42</v>
      </c>
      <c r="D179">
        <v>4</v>
      </c>
      <c r="E179" s="1" t="s">
        <v>367</v>
      </c>
      <c r="F179" s="1" t="s">
        <v>22</v>
      </c>
      <c r="G179" s="3">
        <v>43999</v>
      </c>
      <c r="H179">
        <v>7903.4</v>
      </c>
      <c r="I179">
        <v>56</v>
      </c>
      <c r="J179">
        <v>412</v>
      </c>
      <c r="K179">
        <v>0</v>
      </c>
      <c r="L179">
        <v>1841.38</v>
      </c>
      <c r="M179">
        <v>6062.02</v>
      </c>
      <c r="N179">
        <v>1841.38000006062</v>
      </c>
      <c r="O179" s="1">
        <f>IF(Query2[[#This Row],[ranking]]=1,1,O178+1)</f>
        <v>4</v>
      </c>
    </row>
    <row r="180" spans="1:15" x14ac:dyDescent="0.3">
      <c r="A180" t="str">
        <f>IF(Query2[[#This Row],[ranking]]=1,Query2[[#This Row],[concatenationcolumn]],IF(Query2[[#This Row],[ranking]]=D179+1,Query2[[#This Row],[concatenationcolumn]],_xlfn.CONCAT(Query2[[#This Row],[wh]],"-",Query2[[#This Row],[Column1]])))</f>
        <v>42-5</v>
      </c>
      <c r="B180" s="1" t="s">
        <v>217</v>
      </c>
      <c r="C180">
        <v>42</v>
      </c>
      <c r="D180">
        <v>5</v>
      </c>
      <c r="E180" s="1" t="s">
        <v>310</v>
      </c>
      <c r="F180" s="1" t="s">
        <v>20</v>
      </c>
      <c r="G180" s="3">
        <v>43998</v>
      </c>
      <c r="H180">
        <v>1620.7</v>
      </c>
      <c r="I180">
        <v>2</v>
      </c>
      <c r="J180">
        <v>178</v>
      </c>
      <c r="K180">
        <v>0</v>
      </c>
      <c r="L180">
        <v>1620.7</v>
      </c>
      <c r="M180">
        <v>0</v>
      </c>
      <c r="N180">
        <v>1620.7</v>
      </c>
      <c r="O180" s="1">
        <f>IF(Query2[[#This Row],[ranking]]=1,1,O179+1)</f>
        <v>5</v>
      </c>
    </row>
    <row r="181" spans="1:15" x14ac:dyDescent="0.3">
      <c r="A181" t="str">
        <f>IF(Query2[[#This Row],[ranking]]=1,Query2[[#This Row],[concatenationcolumn]],IF(Query2[[#This Row],[ranking]]=D180+1,Query2[[#This Row],[concatenationcolumn]],_xlfn.CONCAT(Query2[[#This Row],[wh]],"-",Query2[[#This Row],[Column1]])))</f>
        <v>42-6</v>
      </c>
      <c r="B181" s="1" t="s">
        <v>218</v>
      </c>
      <c r="C181">
        <v>42</v>
      </c>
      <c r="D181">
        <v>6</v>
      </c>
      <c r="E181" s="1" t="s">
        <v>311</v>
      </c>
      <c r="F181" s="1" t="s">
        <v>33</v>
      </c>
      <c r="G181" s="3">
        <v>43998</v>
      </c>
      <c r="H181">
        <v>36834.120000000003</v>
      </c>
      <c r="I181">
        <v>16</v>
      </c>
      <c r="J181">
        <v>5934</v>
      </c>
      <c r="K181">
        <v>0</v>
      </c>
      <c r="L181">
        <v>1606.44</v>
      </c>
      <c r="M181">
        <v>35227.68</v>
      </c>
      <c r="N181">
        <v>1606.4400003522769</v>
      </c>
      <c r="O181" s="1">
        <f>IF(Query2[[#This Row],[ranking]]=1,1,O180+1)</f>
        <v>6</v>
      </c>
    </row>
    <row r="182" spans="1:15" x14ac:dyDescent="0.3">
      <c r="A182" t="str">
        <f>IF(Query2[[#This Row],[ranking]]=1,Query2[[#This Row],[concatenationcolumn]],IF(Query2[[#This Row],[ranking]]=D181+1,Query2[[#This Row],[concatenationcolumn]],_xlfn.CONCAT(Query2[[#This Row],[wh]],"-",Query2[[#This Row],[Column1]])))</f>
        <v>42-7</v>
      </c>
      <c r="B182" s="1" t="s">
        <v>219</v>
      </c>
      <c r="C182">
        <v>42</v>
      </c>
      <c r="D182">
        <v>7</v>
      </c>
      <c r="E182" s="1" t="s">
        <v>309</v>
      </c>
      <c r="F182" s="1" t="s">
        <v>18</v>
      </c>
      <c r="G182" s="3">
        <v>43998</v>
      </c>
      <c r="H182">
        <v>7866.69</v>
      </c>
      <c r="I182">
        <v>50</v>
      </c>
      <c r="J182">
        <v>655</v>
      </c>
      <c r="K182">
        <v>0</v>
      </c>
      <c r="L182">
        <v>1277.1500000000001</v>
      </c>
      <c r="M182">
        <v>6589.54</v>
      </c>
      <c r="N182">
        <v>1277.1500000658955</v>
      </c>
      <c r="O182" s="1">
        <f>IF(Query2[[#This Row],[ranking]]=1,1,O181+1)</f>
        <v>7</v>
      </c>
    </row>
    <row r="183" spans="1:15" x14ac:dyDescent="0.3">
      <c r="A183" t="str">
        <f>IF(Query2[[#This Row],[ranking]]=1,Query2[[#This Row],[concatenationcolumn]],IF(Query2[[#This Row],[ranking]]=D182+1,Query2[[#This Row],[concatenationcolumn]],_xlfn.CONCAT(Query2[[#This Row],[wh]],"-",Query2[[#This Row],[Column1]])))</f>
        <v>42-8</v>
      </c>
      <c r="B183" s="1" t="s">
        <v>220</v>
      </c>
      <c r="C183">
        <v>42</v>
      </c>
      <c r="D183">
        <v>8</v>
      </c>
      <c r="E183" s="1" t="s">
        <v>447</v>
      </c>
      <c r="F183" s="1" t="s">
        <v>30</v>
      </c>
      <c r="G183" s="3">
        <v>44000</v>
      </c>
      <c r="H183">
        <v>4945.03</v>
      </c>
      <c r="I183">
        <v>22</v>
      </c>
      <c r="J183">
        <v>211</v>
      </c>
      <c r="K183">
        <v>0</v>
      </c>
      <c r="L183">
        <v>1239.81</v>
      </c>
      <c r="M183">
        <v>3705.22</v>
      </c>
      <c r="N183">
        <v>1239.8100000370523</v>
      </c>
      <c r="O183" s="1">
        <f>IF(Query2[[#This Row],[ranking]]=1,1,O182+1)</f>
        <v>8</v>
      </c>
    </row>
    <row r="184" spans="1:15" x14ac:dyDescent="0.3">
      <c r="A184" t="str">
        <f>IF(Query2[[#This Row],[ranking]]=1,Query2[[#This Row],[concatenationcolumn]],IF(Query2[[#This Row],[ranking]]=D183+1,Query2[[#This Row],[concatenationcolumn]],_xlfn.CONCAT(Query2[[#This Row],[wh]],"-",Query2[[#This Row],[Column1]])))</f>
        <v>42-9</v>
      </c>
      <c r="B184" s="1" t="s">
        <v>221</v>
      </c>
      <c r="C184">
        <v>42</v>
      </c>
      <c r="D184">
        <v>9</v>
      </c>
      <c r="E184" s="1" t="s">
        <v>268</v>
      </c>
      <c r="F184" s="1" t="s">
        <v>158</v>
      </c>
      <c r="G184" s="3">
        <v>43994</v>
      </c>
      <c r="H184">
        <v>776.5</v>
      </c>
      <c r="I184">
        <v>3</v>
      </c>
      <c r="J184">
        <v>93</v>
      </c>
      <c r="K184">
        <v>0</v>
      </c>
      <c r="L184">
        <v>0</v>
      </c>
      <c r="M184">
        <v>776.5</v>
      </c>
      <c r="N184">
        <v>7.7650000000000004E-9</v>
      </c>
      <c r="O184" s="1">
        <f>IF(Query2[[#This Row],[ranking]]=1,1,O183+1)</f>
        <v>9</v>
      </c>
    </row>
    <row r="185" spans="1:15" x14ac:dyDescent="0.3">
      <c r="A185" t="e">
        <f>IF(Query2[[#This Row],[ranking]]=1,Query2[[#This Row],[concatenationcolumn]],IF(Query2[[#This Row],[ranking]]=#REF!+1,Query2[[#This Row],[concatenationcolumn]],_xlfn.CONCAT(Query2[[#This Row],[wh]],"-",Query2[[#This Row],[Column1]])))</f>
        <v>#VALUE!</v>
      </c>
    </row>
    <row r="186" spans="1:15" x14ac:dyDescent="0.3">
      <c r="A186" t="e">
        <f>IF(Query2[[#This Row],[ranking]]=1,Query2[[#This Row],[concatenationcolumn]],IF(Query2[[#This Row],[ranking]]=#REF!+1,Query2[[#This Row],[concatenationcolumn]],_xlfn.CONCAT(Query2[[#This Row],[wh]],"-",Query2[[#This Row],[Column1]])))</f>
        <v>#VALUE!</v>
      </c>
    </row>
    <row r="187" spans="1:15" x14ac:dyDescent="0.3">
      <c r="A187" t="e">
        <f>IF(Query2[[#This Row],[ranking]]=1,Query2[[#This Row],[concatenationcolumn]],IF(Query2[[#This Row],[ranking]]=D184+1,Query2[[#This Row],[concatenationcolumn]],_xlfn.CONCAT(Query2[[#This Row],[wh]],"-",Query2[[#This Row],[Column1]])))</f>
        <v>#VALUE!</v>
      </c>
    </row>
    <row r="188" spans="1:15" x14ac:dyDescent="0.3">
      <c r="A188" t="e">
        <f>IF(Query2[[#This Row],[ranking]]=1,Query2[[#This Row],[concatenationcolumn]],IF(Query2[[#This Row],[ranking]]=D185+1,Query2[[#This Row],[concatenationcolumn]],_xlfn.CONCAT(Query2[[#This Row],[wh]],"-",Query2[[#This Row],[Column1]])))</f>
        <v>#VALUE!</v>
      </c>
    </row>
    <row r="189" spans="1:15" x14ac:dyDescent="0.3">
      <c r="A189" t="e">
        <f>IF(Query2[[#This Row],[ranking]]=1,Query2[[#This Row],[concatenationcolumn]],IF(Query2[[#This Row],[ranking]]=D186+1,Query2[[#This Row],[concatenationcolumn]],_xlfn.CONCAT(Query2[[#This Row],[wh]],"-",Query2[[#This Row],[Column1]])))</f>
        <v>#VALUE!</v>
      </c>
    </row>
    <row r="190" spans="1:15" x14ac:dyDescent="0.3">
      <c r="A190" t="e">
        <f>IF(Query2[[#This Row],[ranking]]=1,Query2[[#This Row],[concatenationcolumn]],IF(Query2[[#This Row],[ranking]]=D187+1,Query2[[#This Row],[concatenationcolumn]],_xlfn.CONCAT(Query2[[#This Row],[wh]],"-",Query2[[#This Row],[Column1]])))</f>
        <v>#VALUE!</v>
      </c>
    </row>
    <row r="191" spans="1:15" x14ac:dyDescent="0.3">
      <c r="A191" t="e">
        <f>IF(Query2[[#This Row],[ranking]]=1,Query2[[#This Row],[concatenationcolumn]],IF(Query2[[#This Row],[ranking]]=D188+1,Query2[[#This Row],[concatenationcolumn]],_xlfn.CONCAT(Query2[[#This Row],[wh]],"-",Query2[[#This Row],[Column1]])))</f>
        <v>#VALUE!</v>
      </c>
    </row>
    <row r="192" spans="1:15" x14ac:dyDescent="0.3">
      <c r="A192" t="e">
        <f>IF(Query2[[#This Row],[ranking]]=1,Query2[[#This Row],[concatenationcolumn]],IF(Query2[[#This Row],[ranking]]=D189+1,Query2[[#This Row],[concatenationcolumn]],_xlfn.CONCAT(Query2[[#This Row],[wh]],"-",Query2[[#This Row],[Column1]])))</f>
        <v>#VALUE!</v>
      </c>
    </row>
    <row r="193" spans="1:1" x14ac:dyDescent="0.3">
      <c r="A193" t="e">
        <f>IF(Query2[[#This Row],[ranking]]=1,Query2[[#This Row],[concatenationcolumn]],IF(Query2[[#This Row],[ranking]]=D190+1,Query2[[#This Row],[concatenationcolumn]],_xlfn.CONCAT(Query2[[#This Row],[wh]],"-",Query2[[#This Row],[Column1]])))</f>
        <v>#VALUE!</v>
      </c>
    </row>
    <row r="194" spans="1:1" x14ac:dyDescent="0.3">
      <c r="A194" t="e">
        <f>IF(Query2[[#This Row],[ranking]]=1,Query2[[#This Row],[concatenationcolumn]],IF(Query2[[#This Row],[ranking]]=D191+1,Query2[[#This Row],[concatenationcolumn]],_xlfn.CONCAT(Query2[[#This Row],[wh]],"-",Query2[[#This Row],[Column1]])))</f>
        <v>#VALUE!</v>
      </c>
    </row>
    <row r="195" spans="1:1" x14ac:dyDescent="0.3">
      <c r="A195" t="e">
        <f>IF(Query2[[#This Row],[ranking]]=1,Query2[[#This Row],[concatenationcolumn]],IF(Query2[[#This Row],[ranking]]=D192+1,Query2[[#This Row],[concatenationcolumn]],_xlfn.CONCAT(Query2[[#This Row],[wh]],"-",Query2[[#This Row],[Column1]])))</f>
        <v>#VALUE!</v>
      </c>
    </row>
    <row r="196" spans="1:1" x14ac:dyDescent="0.3">
      <c r="A196" t="e">
        <f>IF(Query2[[#This Row],[ranking]]=1,Query2[[#This Row],[concatenationcolumn]],IF(Query2[[#This Row],[ranking]]=D193+1,Query2[[#This Row],[concatenationcolumn]],_xlfn.CONCAT(Query2[[#This Row],[wh]],"-",Query2[[#This Row],[Column1]])))</f>
        <v>#VALUE!</v>
      </c>
    </row>
    <row r="197" spans="1:1" x14ac:dyDescent="0.3">
      <c r="A197" t="e">
        <f>IF(Query2[[#This Row],[ranking]]=1,Query2[[#This Row],[concatenationcolumn]],IF(Query2[[#This Row],[ranking]]=D194+1,Query2[[#This Row],[concatenationcolumn]],_xlfn.CONCAT(Query2[[#This Row],[wh]],"-",Query2[[#This Row],[Column1]])))</f>
        <v>#VALUE!</v>
      </c>
    </row>
    <row r="198" spans="1:1" x14ac:dyDescent="0.3">
      <c r="A198" t="e">
        <f>IF(Query2[[#This Row],[ranking]]=1,Query2[[#This Row],[concatenationcolumn]],IF(Query2[[#This Row],[ranking]]=D195+1,Query2[[#This Row],[concatenationcolumn]],_xlfn.CONCAT(Query2[[#This Row],[wh]],"-",Query2[[#This Row],[Column1]])))</f>
        <v>#VALUE!</v>
      </c>
    </row>
    <row r="199" spans="1:1" x14ac:dyDescent="0.3">
      <c r="A199" t="e">
        <f>IF(Query2[[#This Row],[ranking]]=1,Query2[[#This Row],[concatenationcolumn]],IF(Query2[[#This Row],[ranking]]=D196+1,Query2[[#This Row],[concatenationcolumn]],_xlfn.CONCAT(Query2[[#This Row],[wh]],"-",Query2[[#This Row],[Column1]])))</f>
        <v>#VALUE!</v>
      </c>
    </row>
    <row r="200" spans="1:1" x14ac:dyDescent="0.3">
      <c r="A200" t="e">
        <f>IF(Query2[[#This Row],[ranking]]=1,Query2[[#This Row],[concatenationcolumn]],IF(Query2[[#This Row],[ranking]]=D197+1,Query2[[#This Row],[concatenationcolumn]],_xlfn.CONCAT(Query2[[#This Row],[wh]],"-",Query2[[#This Row],[Column1]])))</f>
        <v>#VALUE!</v>
      </c>
    </row>
    <row r="201" spans="1:1" x14ac:dyDescent="0.3">
      <c r="A201" t="e">
        <f>IF(Query2[[#This Row],[ranking]]=1,Query2[[#This Row],[concatenationcolumn]],IF(Query2[[#This Row],[ranking]]=D198+1,Query2[[#This Row],[concatenationcolumn]],_xlfn.CONCAT(Query2[[#This Row],[wh]],"-",Query2[[#This Row],[Column1]])))</f>
        <v>#VALUE!</v>
      </c>
    </row>
    <row r="202" spans="1:1" x14ac:dyDescent="0.3">
      <c r="A202" t="e">
        <f>IF(Query2[[#This Row],[ranking]]=1,Query2[[#This Row],[concatenationcolumn]],IF(Query2[[#This Row],[ranking]]=D199+1,Query2[[#This Row],[concatenationcolumn]],_xlfn.CONCAT(Query2[[#This Row],[wh]],"-",Query2[[#This Row],[Column1]])))</f>
        <v>#VALUE!</v>
      </c>
    </row>
    <row r="203" spans="1:1" x14ac:dyDescent="0.3">
      <c r="A203" t="e">
        <f>IF(Query2[[#This Row],[ranking]]=1,Query2[[#This Row],[concatenationcolumn]],IF(Query2[[#This Row],[ranking]]=D200+1,Query2[[#This Row],[concatenationcolumn]],_xlfn.CONCAT(Query2[[#This Row],[wh]],"-",Query2[[#This Row],[Column1]])))</f>
        <v>#VALUE!</v>
      </c>
    </row>
    <row r="204" spans="1:1" x14ac:dyDescent="0.3">
      <c r="A204" t="e">
        <f>IF(Query2[[#This Row],[ranking]]=1,Query2[[#This Row],[concatenationcolumn]],IF(Query2[[#This Row],[ranking]]=D201+1,Query2[[#This Row],[concatenationcolumn]],_xlfn.CONCAT(Query2[[#This Row],[wh]],"-",Query2[[#This Row],[Column1]])))</f>
        <v>#VALUE!</v>
      </c>
    </row>
    <row r="205" spans="1:1" x14ac:dyDescent="0.3">
      <c r="A205" t="e">
        <f>IF(Query2[[#This Row],[ranking]]=1,Query2[[#This Row],[concatenationcolumn]],IF(Query2[[#This Row],[ranking]]=D202+1,Query2[[#This Row],[concatenationcolumn]],_xlfn.CONCAT(Query2[[#This Row],[wh]],"-",Query2[[#This Row],[Column1]])))</f>
        <v>#VALUE!</v>
      </c>
    </row>
    <row r="206" spans="1:1" x14ac:dyDescent="0.3">
      <c r="A206" t="e">
        <f>IF(Query2[[#This Row],[ranking]]=1,Query2[[#This Row],[concatenationcolumn]],IF(Query2[[#This Row],[ranking]]=D203+1,Query2[[#This Row],[concatenationcolumn]],_xlfn.CONCAT(Query2[[#This Row],[wh]],"-",Query2[[#This Row],[Column1]])))</f>
        <v>#VALUE!</v>
      </c>
    </row>
    <row r="207" spans="1:1" x14ac:dyDescent="0.3">
      <c r="A207" t="e">
        <f>IF(Query2[[#This Row],[ranking]]=1,Query2[[#This Row],[concatenationcolumn]],IF(Query2[[#This Row],[ranking]]=D204+1,Query2[[#This Row],[concatenationcolumn]],_xlfn.CONCAT(Query2[[#This Row],[wh]],"-",Query2[[#This Row],[Column1]])))</f>
        <v>#VALUE!</v>
      </c>
    </row>
    <row r="208" spans="1:1" x14ac:dyDescent="0.3">
      <c r="A208" t="e">
        <f>IF(Query2[[#This Row],[ranking]]=1,Query2[[#This Row],[concatenationcolumn]],IF(Query2[[#This Row],[ranking]]=D205+1,Query2[[#This Row],[concatenationcolumn]],_xlfn.CONCAT(Query2[[#This Row],[wh]],"-",Query2[[#This Row],[Column1]])))</f>
        <v>#VALUE!</v>
      </c>
    </row>
    <row r="209" spans="1:1" x14ac:dyDescent="0.3">
      <c r="A209" t="e">
        <f>IF(Query2[[#This Row],[ranking]]=1,Query2[[#This Row],[concatenationcolumn]],IF(Query2[[#This Row],[ranking]]=D206+1,Query2[[#This Row],[concatenationcolumn]],_xlfn.CONCAT(Query2[[#This Row],[wh]],"-",Query2[[#This Row],[Column1]])))</f>
        <v>#VALUE!</v>
      </c>
    </row>
    <row r="210" spans="1:1" x14ac:dyDescent="0.3">
      <c r="A210" t="e">
        <f>IF(Query2[[#This Row],[ranking]]=1,Query2[[#This Row],[concatenationcolumn]],IF(Query2[[#This Row],[ranking]]=D207+1,Query2[[#This Row],[concatenationcolumn]],_xlfn.CONCAT(Query2[[#This Row],[wh]],"-",Query2[[#This Row],[Column1]])))</f>
        <v>#VALUE!</v>
      </c>
    </row>
    <row r="211" spans="1:1" x14ac:dyDescent="0.3">
      <c r="A211" t="e">
        <f>IF(Query2[[#This Row],[ranking]]=1,Query2[[#This Row],[concatenationcolumn]],IF(Query2[[#This Row],[ranking]]=D208+1,Query2[[#This Row],[concatenationcolumn]],_xlfn.CONCAT(Query2[[#This Row],[wh]],"-",Query2[[#This Row],[Column1]])))</f>
        <v>#VALUE!</v>
      </c>
    </row>
    <row r="212" spans="1:1" x14ac:dyDescent="0.3">
      <c r="A212" t="e">
        <f>IF(Query2[[#This Row],[ranking]]=1,Query2[[#This Row],[concatenationcolumn]],IF(Query2[[#This Row],[ranking]]=D209+1,Query2[[#This Row],[concatenationcolumn]],_xlfn.CONCAT(Query2[[#This Row],[wh]],"-",Query2[[#This Row],[Column1]])))</f>
        <v>#VALUE!</v>
      </c>
    </row>
    <row r="213" spans="1:1" x14ac:dyDescent="0.3">
      <c r="A213" t="e">
        <f>IF(Query2[[#This Row],[ranking]]=1,Query2[[#This Row],[concatenationcolumn]],IF(Query2[[#This Row],[ranking]]=D210+1,Query2[[#This Row],[concatenationcolumn]],_xlfn.CONCAT(Query2[[#This Row],[wh]],"-",Query2[[#This Row],[Column1]])))</f>
        <v>#VALUE!</v>
      </c>
    </row>
    <row r="214" spans="1:1" x14ac:dyDescent="0.3">
      <c r="A214" t="e">
        <f>IF(Query2[[#This Row],[ranking]]=1,Query2[[#This Row],[concatenationcolumn]],IF(Query2[[#This Row],[ranking]]=D211+1,Query2[[#This Row],[concatenationcolumn]],_xlfn.CONCAT(Query2[[#This Row],[wh]],"-",Query2[[#This Row],[Column1]])))</f>
        <v>#VALUE!</v>
      </c>
    </row>
    <row r="215" spans="1:1" x14ac:dyDescent="0.3">
      <c r="A215" t="e">
        <f>IF(Query2[[#This Row],[ranking]]=1,Query2[[#This Row],[concatenationcolumn]],IF(Query2[[#This Row],[ranking]]=D212+1,Query2[[#This Row],[concatenationcolumn]],_xlfn.CONCAT(Query2[[#This Row],[wh]],"-",Query2[[#This Row],[Column1]])))</f>
        <v>#VALUE!</v>
      </c>
    </row>
    <row r="216" spans="1:1" x14ac:dyDescent="0.3">
      <c r="A216" t="e">
        <f>IF(Query2[[#This Row],[ranking]]=1,Query2[[#This Row],[concatenationcolumn]],IF(Query2[[#This Row],[ranking]]=D213+1,Query2[[#This Row],[concatenationcolumn]],_xlfn.CONCAT(Query2[[#This Row],[wh]],"-",Query2[[#This Row],[Column1]])))</f>
        <v>#VALUE!</v>
      </c>
    </row>
    <row r="217" spans="1:1" x14ac:dyDescent="0.3">
      <c r="A217" t="e">
        <f>IF(Query2[[#This Row],[ranking]]=1,Query2[[#This Row],[concatenationcolumn]],IF(Query2[[#This Row],[ranking]]=D214+1,Query2[[#This Row],[concatenationcolumn]],_xlfn.CONCAT(Query2[[#This Row],[wh]],"-",Query2[[#This Row],[Column1]])))</f>
        <v>#VALUE!</v>
      </c>
    </row>
    <row r="218" spans="1:1" x14ac:dyDescent="0.3">
      <c r="A218" t="e">
        <f>IF(Query2[[#This Row],[ranking]]=1,Query2[[#This Row],[concatenationcolumn]],IF(Query2[[#This Row],[ranking]]=D215+1,Query2[[#This Row],[concatenationcolumn]],_xlfn.CONCAT(Query2[[#This Row],[wh]],"-",Query2[[#This Row],[Column1]])))</f>
        <v>#VALUE!</v>
      </c>
    </row>
    <row r="219" spans="1:1" x14ac:dyDescent="0.3">
      <c r="A219" t="e">
        <f>IF(Query2[[#This Row],[ranking]]=1,Query2[[#This Row],[concatenationcolumn]],IF(Query2[[#This Row],[ranking]]=D216+1,Query2[[#This Row],[concatenationcolumn]],_xlfn.CONCAT(Query2[[#This Row],[wh]],"-",Query2[[#This Row],[Column1]])))</f>
        <v>#VALUE!</v>
      </c>
    </row>
    <row r="220" spans="1:1" x14ac:dyDescent="0.3">
      <c r="A220" t="e">
        <f>IF(Query2[[#This Row],[ranking]]=1,Query2[[#This Row],[concatenationcolumn]],IF(Query2[[#This Row],[ranking]]=D217+1,Query2[[#This Row],[concatenationcolumn]],_xlfn.CONCAT(Query2[[#This Row],[wh]],"-",Query2[[#This Row],[Column1]])))</f>
        <v>#VALUE!</v>
      </c>
    </row>
    <row r="221" spans="1:1" x14ac:dyDescent="0.3">
      <c r="A221" t="e">
        <f>IF(Query2[[#This Row],[ranking]]=1,Query2[[#This Row],[concatenationcolumn]],IF(Query2[[#This Row],[ranking]]=D218+1,Query2[[#This Row],[concatenationcolumn]],_xlfn.CONCAT(Query2[[#This Row],[wh]],"-",Query2[[#This Row],[Column1]])))</f>
        <v>#VALUE!</v>
      </c>
    </row>
    <row r="222" spans="1:1" x14ac:dyDescent="0.3">
      <c r="A222" t="e">
        <f>IF(Query2[[#This Row],[ranking]]=1,Query2[[#This Row],[concatenationcolumn]],IF(Query2[[#This Row],[ranking]]=D219+1,Query2[[#This Row],[concatenationcolumn]],_xlfn.CONCAT(Query2[[#This Row],[wh]],"-",Query2[[#This Row],[Column1]])))</f>
        <v>#VALUE!</v>
      </c>
    </row>
    <row r="223" spans="1:1" x14ac:dyDescent="0.3">
      <c r="A223" t="e">
        <f>IF(Query2[[#This Row],[ranking]]=1,Query2[[#This Row],[concatenationcolumn]],IF(Query2[[#This Row],[ranking]]=D220+1,Query2[[#This Row],[concatenationcolumn]],_xlfn.CONCAT(Query2[[#This Row],[wh]],"-",Query2[[#This Row],[Column1]])))</f>
        <v>#VALUE!</v>
      </c>
    </row>
    <row r="224" spans="1:1" x14ac:dyDescent="0.3">
      <c r="A224" t="e">
        <f>IF(Query2[[#This Row],[ranking]]=1,Query2[[#This Row],[concatenationcolumn]],IF(Query2[[#This Row],[ranking]]=D221+1,Query2[[#This Row],[concatenationcolumn]],_xlfn.CONCAT(Query2[[#This Row],[wh]],"-",Query2[[#This Row],[Column1]])))</f>
        <v>#VALUE!</v>
      </c>
    </row>
    <row r="225" spans="1:1" x14ac:dyDescent="0.3">
      <c r="A225" t="e">
        <f>IF(Query2[[#This Row],[ranking]]=1,Query2[[#This Row],[concatenationcolumn]],IF(Query2[[#This Row],[ranking]]=D222+1,Query2[[#This Row],[concatenationcolumn]],_xlfn.CONCAT(Query2[[#This Row],[wh]],"-",Query2[[#This Row],[Column1]])))</f>
        <v>#VALUE!</v>
      </c>
    </row>
    <row r="226" spans="1:1" x14ac:dyDescent="0.3">
      <c r="A226" t="e">
        <f>IF(Query2[[#This Row],[ranking]]=1,Query2[[#This Row],[concatenationcolumn]],IF(Query2[[#This Row],[ranking]]=D223+1,Query2[[#This Row],[concatenationcolumn]],_xlfn.CONCAT(Query2[[#This Row],[wh]],"-",Query2[[#This Row],[Column1]])))</f>
        <v>#VALUE!</v>
      </c>
    </row>
    <row r="227" spans="1:1" x14ac:dyDescent="0.3">
      <c r="A227" t="e">
        <f>IF(Query2[[#This Row],[ranking]]=1,Query2[[#This Row],[concatenationcolumn]],IF(Query2[[#This Row],[ranking]]=D224+1,Query2[[#This Row],[concatenationcolumn]],_xlfn.CONCAT(Query2[[#This Row],[wh]],"-",Query2[[#This Row],[Column1]])))</f>
        <v>#VALUE!</v>
      </c>
    </row>
    <row r="228" spans="1:1" x14ac:dyDescent="0.3">
      <c r="A228" t="e">
        <f>IF(Query2[[#This Row],[ranking]]=1,Query2[[#This Row],[concatenationcolumn]],IF(Query2[[#This Row],[ranking]]=D225+1,Query2[[#This Row],[concatenationcolumn]],_xlfn.CONCAT(Query2[[#This Row],[wh]],"-",Query2[[#This Row],[Column1]])))</f>
        <v>#VALUE!</v>
      </c>
    </row>
    <row r="229" spans="1:1" x14ac:dyDescent="0.3">
      <c r="A229" t="e">
        <f>IF(Query2[[#This Row],[ranking]]=1,Query2[[#This Row],[concatenationcolumn]],IF(Query2[[#This Row],[ranking]]=D226+1,Query2[[#This Row],[concatenationcolumn]],_xlfn.CONCAT(Query2[[#This Row],[wh]],"-",Query2[[#This Row],[Column1]])))</f>
        <v>#VALUE!</v>
      </c>
    </row>
    <row r="230" spans="1:1" x14ac:dyDescent="0.3">
      <c r="A230" t="e">
        <f>IF(Query2[[#This Row],[ranking]]=1,Query2[[#This Row],[concatenationcolumn]],IF(Query2[[#This Row],[ranking]]=D227+1,Query2[[#This Row],[concatenationcolumn]],_xlfn.CONCAT(Query2[[#This Row],[wh]],"-",Query2[[#This Row],[Column1]])))</f>
        <v>#VALUE!</v>
      </c>
    </row>
    <row r="231" spans="1:1" x14ac:dyDescent="0.3">
      <c r="A231" t="e">
        <f>IF(Query2[[#This Row],[ranking]]=1,Query2[[#This Row],[concatenationcolumn]],IF(Query2[[#This Row],[ranking]]=D228+1,Query2[[#This Row],[concatenationcolumn]],_xlfn.CONCAT(Query2[[#This Row],[wh]],"-",Query2[[#This Row],[Column1]])))</f>
        <v>#VALUE!</v>
      </c>
    </row>
    <row r="232" spans="1:1" x14ac:dyDescent="0.3">
      <c r="A232" t="e">
        <f>IF(Query2[[#This Row],[ranking]]=1,Query2[[#This Row],[concatenationcolumn]],IF(Query2[[#This Row],[ranking]]=D229+1,Query2[[#This Row],[concatenationcolumn]],_xlfn.CONCAT(Query2[[#This Row],[wh]],"-",Query2[[#This Row],[Column1]])))</f>
        <v>#VALUE!</v>
      </c>
    </row>
    <row r="233" spans="1:1" x14ac:dyDescent="0.3">
      <c r="A233" t="e">
        <f>IF(Query2[[#This Row],[ranking]]=1,Query2[[#This Row],[concatenationcolumn]],IF(Query2[[#This Row],[ranking]]=D230+1,Query2[[#This Row],[concatenationcolumn]],_xlfn.CONCAT(Query2[[#This Row],[wh]],"-",Query2[[#This Row],[Column1]])))</f>
        <v>#VALUE!</v>
      </c>
    </row>
    <row r="234" spans="1:1" x14ac:dyDescent="0.3">
      <c r="A234" t="e">
        <f>IF(Query2[[#This Row],[ranking]]=1,Query2[[#This Row],[concatenationcolumn]],IF(Query2[[#This Row],[ranking]]=D231+1,Query2[[#This Row],[concatenationcolumn]],_xlfn.CONCAT(Query2[[#This Row],[wh]],"-",Query2[[#This Row],[Column1]])))</f>
        <v>#VALUE!</v>
      </c>
    </row>
    <row r="235" spans="1:1" x14ac:dyDescent="0.3">
      <c r="A235" t="e">
        <f>IF(Query2[[#This Row],[ranking]]=1,Query2[[#This Row],[concatenationcolumn]],IF(Query2[[#This Row],[ranking]]=D232+1,Query2[[#This Row],[concatenationcolumn]],_xlfn.CONCAT(Query2[[#This Row],[wh]],"-",Query2[[#This Row],[Column1]])))</f>
        <v>#VALUE!</v>
      </c>
    </row>
    <row r="236" spans="1:1" x14ac:dyDescent="0.3">
      <c r="A236" t="e">
        <f>IF(Query2[[#This Row],[ranking]]=1,Query2[[#This Row],[concatenationcolumn]],IF(Query2[[#This Row],[ranking]]=D233+1,Query2[[#This Row],[concatenationcolumn]],_xlfn.CONCAT(Query2[[#This Row],[wh]],"-",Query2[[#This Row],[Column1]])))</f>
        <v>#VALUE!</v>
      </c>
    </row>
    <row r="237" spans="1:1" x14ac:dyDescent="0.3">
      <c r="A237" t="e">
        <f>IF(Query2[[#This Row],[ranking]]=1,Query2[[#This Row],[concatenationcolumn]],IF(Query2[[#This Row],[ranking]]=D234+1,Query2[[#This Row],[concatenationcolumn]],_xlfn.CONCAT(Query2[[#This Row],[wh]],"-",Query2[[#This Row],[Column1]])))</f>
        <v>#VALUE!</v>
      </c>
    </row>
    <row r="238" spans="1:1" x14ac:dyDescent="0.3">
      <c r="A238" t="e">
        <f>IF(Query2[[#This Row],[ranking]]=1,Query2[[#This Row],[concatenationcolumn]],IF(Query2[[#This Row],[ranking]]=D235+1,Query2[[#This Row],[concatenationcolumn]],_xlfn.CONCAT(Query2[[#This Row],[wh]],"-",Query2[[#This Row],[Column1]])))</f>
        <v>#VALUE!</v>
      </c>
    </row>
    <row r="239" spans="1:1" x14ac:dyDescent="0.3">
      <c r="A239" t="e">
        <f>IF(Query2[[#This Row],[ranking]]=1,Query2[[#This Row],[concatenationcolumn]],IF(Query2[[#This Row],[ranking]]=D236+1,Query2[[#This Row],[concatenationcolumn]],_xlfn.CONCAT(Query2[[#This Row],[wh]],"-",Query2[[#This Row],[Column1]])))</f>
        <v>#VALUE!</v>
      </c>
    </row>
    <row r="240" spans="1:1" x14ac:dyDescent="0.3">
      <c r="A240" t="e">
        <f>IF(Query2[[#This Row],[ranking]]=1,Query2[[#This Row],[concatenationcolumn]],IF(Query2[[#This Row],[ranking]]=D237+1,Query2[[#This Row],[concatenationcolumn]],_xlfn.CONCAT(Query2[[#This Row],[wh]],"-",Query2[[#This Row],[Column1]])))</f>
        <v>#VALUE!</v>
      </c>
    </row>
    <row r="241" spans="1:1" x14ac:dyDescent="0.3">
      <c r="A241" t="e">
        <f>IF(Query2[[#This Row],[ranking]]=1,Query2[[#This Row],[concatenationcolumn]],IF(Query2[[#This Row],[ranking]]=D238+1,Query2[[#This Row],[concatenationcolumn]],_xlfn.CONCAT(Query2[[#This Row],[wh]],"-",Query2[[#This Row],[Column1]])))</f>
        <v>#VALUE!</v>
      </c>
    </row>
    <row r="242" spans="1:1" x14ac:dyDescent="0.3">
      <c r="A242" t="e">
        <f>IF(Query2[[#This Row],[ranking]]=1,Query2[[#This Row],[concatenationcolumn]],IF(Query2[[#This Row],[ranking]]=D239+1,Query2[[#This Row],[concatenationcolumn]],_xlfn.CONCAT(Query2[[#This Row],[wh]],"-",Query2[[#This Row],[Column1]])))</f>
        <v>#VALUE!</v>
      </c>
    </row>
    <row r="243" spans="1:1" x14ac:dyDescent="0.3">
      <c r="A243" t="e">
        <f>IF(Query2[[#This Row],[ranking]]=1,Query2[[#This Row],[concatenationcolumn]],IF(Query2[[#This Row],[ranking]]=D240+1,Query2[[#This Row],[concatenationcolumn]],_xlfn.CONCAT(Query2[[#This Row],[wh]],"-",Query2[[#This Row],[Column1]])))</f>
        <v>#VALUE!</v>
      </c>
    </row>
    <row r="244" spans="1:1" x14ac:dyDescent="0.3">
      <c r="A244" t="e">
        <f>IF(Query2[[#This Row],[ranking]]=1,Query2[[#This Row],[concatenationcolumn]],IF(Query2[[#This Row],[ranking]]=D241+1,Query2[[#This Row],[concatenationcolumn]],_xlfn.CONCAT(Query2[[#This Row],[wh]],"-",Query2[[#This Row],[Column1]])))</f>
        <v>#VALUE!</v>
      </c>
    </row>
    <row r="245" spans="1:1" x14ac:dyDescent="0.3">
      <c r="A245" t="e">
        <f>IF(Query2[[#This Row],[ranking]]=1,Query2[[#This Row],[concatenationcolumn]],IF(Query2[[#This Row],[ranking]]=D242+1,Query2[[#This Row],[concatenationcolumn]],_xlfn.CONCAT(Query2[[#This Row],[wh]],"-",Query2[[#This Row],[Column1]])))</f>
        <v>#VALUE!</v>
      </c>
    </row>
    <row r="246" spans="1:1" x14ac:dyDescent="0.3">
      <c r="A246" t="e">
        <f>IF(Query2[[#This Row],[ranking]]=1,Query2[[#This Row],[concatenationcolumn]],IF(Query2[[#This Row],[ranking]]=D243+1,Query2[[#This Row],[concatenationcolumn]],_xlfn.CONCAT(Query2[[#This Row],[wh]],"-",Query2[[#This Row],[Column1]])))</f>
        <v>#VALUE!</v>
      </c>
    </row>
    <row r="247" spans="1:1" x14ac:dyDescent="0.3">
      <c r="A247" t="e">
        <f>IF(Query2[[#This Row],[ranking]]=1,Query2[[#This Row],[concatenationcolumn]],IF(Query2[[#This Row],[ranking]]=D244+1,Query2[[#This Row],[concatenationcolumn]],_xlfn.CONCAT(Query2[[#This Row],[wh]],"-",Query2[[#This Row],[Column1]])))</f>
        <v>#VALUE!</v>
      </c>
    </row>
    <row r="248" spans="1:1" x14ac:dyDescent="0.3">
      <c r="A248" t="e">
        <f>IF(Query2[[#This Row],[ranking]]=1,Query2[[#This Row],[concatenationcolumn]],IF(Query2[[#This Row],[ranking]]=D245+1,Query2[[#This Row],[concatenationcolumn]],_xlfn.CONCAT(Query2[[#This Row],[wh]],"-",Query2[[#This Row],[Column1]])))</f>
        <v>#VALUE!</v>
      </c>
    </row>
    <row r="249" spans="1:1" x14ac:dyDescent="0.3">
      <c r="A249" t="e">
        <f>IF(Query2[[#This Row],[ranking]]=1,Query2[[#This Row],[concatenationcolumn]],IF(Query2[[#This Row],[ranking]]=D246+1,Query2[[#This Row],[concatenationcolumn]],_xlfn.CONCAT(Query2[[#This Row],[wh]],"-",Query2[[#This Row],[Column1]])))</f>
        <v>#VALUE!</v>
      </c>
    </row>
    <row r="250" spans="1:1" x14ac:dyDescent="0.3">
      <c r="A250" t="e">
        <f>IF(Query2[[#This Row],[ranking]]=1,Query2[[#This Row],[concatenationcolumn]],IF(Query2[[#This Row],[ranking]]=D247+1,Query2[[#This Row],[concatenationcolumn]],_xlfn.CONCAT(Query2[[#This Row],[wh]],"-",Query2[[#This Row],[Column1]])))</f>
        <v>#VALUE!</v>
      </c>
    </row>
    <row r="251" spans="1:1" x14ac:dyDescent="0.3">
      <c r="A251" t="e">
        <f>IF(Query2[[#This Row],[ranking]]=1,Query2[[#This Row],[concatenationcolumn]],IF(Query2[[#This Row],[ranking]]=D248+1,Query2[[#This Row],[concatenationcolumn]],_xlfn.CONCAT(Query2[[#This Row],[wh]],"-",Query2[[#This Row],[Column1]])))</f>
        <v>#VALUE!</v>
      </c>
    </row>
    <row r="252" spans="1:1" x14ac:dyDescent="0.3">
      <c r="A252" t="e">
        <f>IF(Query2[[#This Row],[ranking]]=1,Query2[[#This Row],[concatenationcolumn]],IF(Query2[[#This Row],[ranking]]=D249+1,Query2[[#This Row],[concatenationcolumn]],_xlfn.CONCAT(Query2[[#This Row],[wh]],"-",Query2[[#This Row],[Column1]])))</f>
        <v>#VALUE!</v>
      </c>
    </row>
    <row r="253" spans="1:1" x14ac:dyDescent="0.3">
      <c r="A253" t="e">
        <f>IF(Query2[[#This Row],[ranking]]=1,Query2[[#This Row],[concatenationcolumn]],IF(Query2[[#This Row],[ranking]]=D250+1,Query2[[#This Row],[concatenationcolumn]],_xlfn.CONCAT(Query2[[#This Row],[wh]],"-",Query2[[#This Row],[Column1]])))</f>
        <v>#VALUE!</v>
      </c>
    </row>
    <row r="254" spans="1:1" x14ac:dyDescent="0.3">
      <c r="A254" t="e">
        <f>IF(Query2[[#This Row],[ranking]]=1,Query2[[#This Row],[concatenationcolumn]],IF(Query2[[#This Row],[ranking]]=D251+1,Query2[[#This Row],[concatenationcolumn]],_xlfn.CONCAT(Query2[[#This Row],[wh]],"-",Query2[[#This Row],[Column1]])))</f>
        <v>#VALUE!</v>
      </c>
    </row>
    <row r="255" spans="1:1" x14ac:dyDescent="0.3">
      <c r="A255" t="e">
        <f>IF(Query2[[#This Row],[ranking]]=1,Query2[[#This Row],[concatenationcolumn]],IF(Query2[[#This Row],[ranking]]=D252+1,Query2[[#This Row],[concatenationcolumn]],_xlfn.CONCAT(Query2[[#This Row],[wh]],"-",Query2[[#This Row],[Column1]])))</f>
        <v>#VALUE!</v>
      </c>
    </row>
    <row r="256" spans="1:1" x14ac:dyDescent="0.3">
      <c r="A256" t="e">
        <f>IF(Query2[[#This Row],[ranking]]=1,Query2[[#This Row],[concatenationcolumn]],IF(Query2[[#This Row],[ranking]]=D253+1,Query2[[#This Row],[concatenationcolumn]],_xlfn.CONCAT(Query2[[#This Row],[wh]],"-",Query2[[#This Row],[Column1]])))</f>
        <v>#VALUE!</v>
      </c>
    </row>
    <row r="257" spans="1:1" x14ac:dyDescent="0.3">
      <c r="A257" t="e">
        <f>IF(Query2[[#This Row],[ranking]]=1,Query2[[#This Row],[concatenationcolumn]],IF(Query2[[#This Row],[ranking]]=D254+1,Query2[[#This Row],[concatenationcolumn]],_xlfn.CONCAT(Query2[[#This Row],[wh]],"-",Query2[[#This Row],[Column1]])))</f>
        <v>#VALUE!</v>
      </c>
    </row>
    <row r="258" spans="1:1" x14ac:dyDescent="0.3">
      <c r="A258" t="e">
        <f>IF(Query2[[#This Row],[ranking]]=1,Query2[[#This Row],[concatenationcolumn]],IF(Query2[[#This Row],[ranking]]=D255+1,Query2[[#This Row],[concatenationcolumn]],_xlfn.CONCAT(Query2[[#This Row],[wh]],"-",Query2[[#This Row],[Column1]])))</f>
        <v>#VALUE!</v>
      </c>
    </row>
    <row r="259" spans="1:1" x14ac:dyDescent="0.3">
      <c r="A259" t="e">
        <f>IF(Query2[[#This Row],[ranking]]=1,Query2[[#This Row],[concatenationcolumn]],IF(Query2[[#This Row],[ranking]]=D256+1,Query2[[#This Row],[concatenationcolumn]],_xlfn.CONCAT(Query2[[#This Row],[wh]],"-",Query2[[#This Row],[Column1]])))</f>
        <v>#VALUE!</v>
      </c>
    </row>
    <row r="260" spans="1:1" x14ac:dyDescent="0.3">
      <c r="A260" t="e">
        <f>IF(Query2[[#This Row],[ranking]]=1,Query2[[#This Row],[concatenationcolumn]],IF(Query2[[#This Row],[ranking]]=D257+1,Query2[[#This Row],[concatenationcolumn]],_xlfn.CONCAT(Query2[[#This Row],[wh]],"-",Query2[[#This Row],[Column1]])))</f>
        <v>#VALUE!</v>
      </c>
    </row>
    <row r="261" spans="1:1" x14ac:dyDescent="0.3">
      <c r="A261" t="e">
        <f>IF(Query2[[#This Row],[ranking]]=1,Query2[[#This Row],[concatenationcolumn]],IF(Query2[[#This Row],[ranking]]=D258+1,Query2[[#This Row],[concatenationcolumn]],_xlfn.CONCAT(Query2[[#This Row],[wh]],"-",Query2[[#This Row],[Column1]])))</f>
        <v>#VALUE!</v>
      </c>
    </row>
    <row r="262" spans="1:1" x14ac:dyDescent="0.3">
      <c r="A262" t="e">
        <f>IF(Query2[[#This Row],[ranking]]=1,Query2[[#This Row],[concatenationcolumn]],IF(Query2[[#This Row],[ranking]]=D259+1,Query2[[#This Row],[concatenationcolumn]],_xlfn.CONCAT(Query2[[#This Row],[wh]],"-",Query2[[#This Row],[Column1]])))</f>
        <v>#VALUE!</v>
      </c>
    </row>
    <row r="263" spans="1:1" x14ac:dyDescent="0.3">
      <c r="A263" t="e">
        <f>IF(Query2[[#This Row],[ranking]]=1,Query2[[#This Row],[concatenationcolumn]],IF(Query2[[#This Row],[ranking]]=D260+1,Query2[[#This Row],[concatenationcolumn]],_xlfn.CONCAT(Query2[[#This Row],[wh]],"-",Query2[[#This Row],[Column1]])))</f>
        <v>#VALUE!</v>
      </c>
    </row>
    <row r="264" spans="1:1" x14ac:dyDescent="0.3">
      <c r="A264" t="e">
        <f>IF(Query2[[#This Row],[ranking]]=1,Query2[[#This Row],[concatenationcolumn]],IF(Query2[[#This Row],[ranking]]=D261+1,Query2[[#This Row],[concatenationcolumn]],_xlfn.CONCAT(Query2[[#This Row],[wh]],"-",Query2[[#This Row],[Column1]])))</f>
        <v>#VALUE!</v>
      </c>
    </row>
    <row r="265" spans="1:1" x14ac:dyDescent="0.3">
      <c r="A265" t="e">
        <f>IF(Query2[[#This Row],[ranking]]=1,Query2[[#This Row],[concatenationcolumn]],IF(Query2[[#This Row],[ranking]]=D262+1,Query2[[#This Row],[concatenationcolumn]],_xlfn.CONCAT(Query2[[#This Row],[wh]],"-",Query2[[#This Row],[Column1]])))</f>
        <v>#VALUE!</v>
      </c>
    </row>
    <row r="266" spans="1:1" x14ac:dyDescent="0.3">
      <c r="A266" t="e">
        <f>IF(Query2[[#This Row],[ranking]]=1,Query2[[#This Row],[concatenationcolumn]],IF(Query2[[#This Row],[ranking]]=D263+1,Query2[[#This Row],[concatenationcolumn]],_xlfn.CONCAT(Query2[[#This Row],[wh]],"-",Query2[[#This Row],[Column1]])))</f>
        <v>#VALUE!</v>
      </c>
    </row>
    <row r="267" spans="1:1" x14ac:dyDescent="0.3">
      <c r="A267" t="e">
        <f>IF(Query2[[#This Row],[ranking]]=1,Query2[[#This Row],[concatenationcolumn]],IF(Query2[[#This Row],[ranking]]=D264+1,Query2[[#This Row],[concatenationcolumn]],_xlfn.CONCAT(Query2[[#This Row],[wh]],"-",Query2[[#This Row],[Column1]])))</f>
        <v>#VALUE!</v>
      </c>
    </row>
    <row r="268" spans="1:1" x14ac:dyDescent="0.3">
      <c r="A268" t="e">
        <f>IF(Query2[[#This Row],[ranking]]=1,Query2[[#This Row],[concatenationcolumn]],IF(Query2[[#This Row],[ranking]]=D265+1,Query2[[#This Row],[concatenationcolumn]],_xlfn.CONCAT(Query2[[#This Row],[wh]],"-",Query2[[#This Row],[Column1]])))</f>
        <v>#VALUE!</v>
      </c>
    </row>
    <row r="269" spans="1:1" x14ac:dyDescent="0.3">
      <c r="A269" t="e">
        <f>IF(Query2[[#This Row],[ranking]]=1,Query2[[#This Row],[concatenationcolumn]],IF(Query2[[#This Row],[ranking]]=D266+1,Query2[[#This Row],[concatenationcolumn]],_xlfn.CONCAT(Query2[[#This Row],[wh]],"-",Query2[[#This Row],[Column1]])))</f>
        <v>#VALUE!</v>
      </c>
    </row>
    <row r="270" spans="1:1" x14ac:dyDescent="0.3">
      <c r="A270" t="e">
        <f>IF(Query2[[#This Row],[ranking]]=1,Query2[[#This Row],[concatenationcolumn]],IF(Query2[[#This Row],[ranking]]=D267+1,Query2[[#This Row],[concatenationcolumn]],_xlfn.CONCAT(Query2[[#This Row],[wh]],"-",Query2[[#This Row],[Column1]])))</f>
        <v>#VALUE!</v>
      </c>
    </row>
    <row r="271" spans="1:1" x14ac:dyDescent="0.3">
      <c r="A271" t="e">
        <f>IF(Query2[[#This Row],[ranking]]=1,Query2[[#This Row],[concatenationcolumn]],IF(Query2[[#This Row],[ranking]]=D268+1,Query2[[#This Row],[concatenationcolumn]],_xlfn.CONCAT(Query2[[#This Row],[wh]],"-",Query2[[#This Row],[Column1]])))</f>
        <v>#VALUE!</v>
      </c>
    </row>
    <row r="272" spans="1:1" x14ac:dyDescent="0.3">
      <c r="A272" t="e">
        <f>IF(Query2[[#This Row],[ranking]]=1,Query2[[#This Row],[concatenationcolumn]],IF(Query2[[#This Row],[ranking]]=D269+1,Query2[[#This Row],[concatenationcolumn]],_xlfn.CONCAT(Query2[[#This Row],[wh]],"-",Query2[[#This Row],[Column1]])))</f>
        <v>#VALUE!</v>
      </c>
    </row>
    <row r="273" spans="1:1" x14ac:dyDescent="0.3">
      <c r="A273" t="e">
        <f>IF(Query2[[#This Row],[ranking]]=1,Query2[[#This Row],[concatenationcolumn]],IF(Query2[[#This Row],[ranking]]=D270+1,Query2[[#This Row],[concatenationcolumn]],_xlfn.CONCAT(Query2[[#This Row],[wh]],"-",Query2[[#This Row],[Column1]])))</f>
        <v>#VALUE!</v>
      </c>
    </row>
    <row r="274" spans="1:1" x14ac:dyDescent="0.3">
      <c r="A274" t="e">
        <f>IF(Query2[[#This Row],[ranking]]=1,Query2[[#This Row],[concatenationcolumn]],IF(Query2[[#This Row],[ranking]]=D271+1,Query2[[#This Row],[concatenationcolumn]],_xlfn.CONCAT(Query2[[#This Row],[wh]],"-",Query2[[#This Row],[Column1]])))</f>
        <v>#VALUE!</v>
      </c>
    </row>
    <row r="275" spans="1:1" x14ac:dyDescent="0.3">
      <c r="A275" t="e">
        <f>IF(Query2[[#This Row],[ranking]]=1,Query2[[#This Row],[concatenationcolumn]],IF(Query2[[#This Row],[ranking]]=D272+1,Query2[[#This Row],[concatenationcolumn]],_xlfn.CONCAT(Query2[[#This Row],[wh]],"-",Query2[[#This Row],[Column1]])))</f>
        <v>#VALUE!</v>
      </c>
    </row>
    <row r="276" spans="1:1" x14ac:dyDescent="0.3">
      <c r="A276" t="e">
        <f>IF(Query2[[#This Row],[ranking]]=1,Query2[[#This Row],[concatenationcolumn]],IF(Query2[[#This Row],[ranking]]=D273+1,Query2[[#This Row],[concatenationcolumn]],_xlfn.CONCAT(Query2[[#This Row],[wh]],"-",Query2[[#This Row],[Column1]])))</f>
        <v>#VALUE!</v>
      </c>
    </row>
    <row r="277" spans="1:1" x14ac:dyDescent="0.3">
      <c r="A277" t="e">
        <f>IF(Query2[[#This Row],[ranking]]=1,Query2[[#This Row],[concatenationcolumn]],IF(Query2[[#This Row],[ranking]]=D274+1,Query2[[#This Row],[concatenationcolumn]],_xlfn.CONCAT(Query2[[#This Row],[wh]],"-",Query2[[#This Row],[Column1]])))</f>
        <v>#VALUE!</v>
      </c>
    </row>
    <row r="278" spans="1:1" x14ac:dyDescent="0.3">
      <c r="A278" t="e">
        <f>IF(Query2[[#This Row],[ranking]]=1,Query2[[#This Row],[concatenationcolumn]],IF(Query2[[#This Row],[ranking]]=D275+1,Query2[[#This Row],[concatenationcolumn]],_xlfn.CONCAT(Query2[[#This Row],[wh]],"-",Query2[[#This Row],[Column1]])))</f>
        <v>#VALUE!</v>
      </c>
    </row>
    <row r="279" spans="1:1" x14ac:dyDescent="0.3">
      <c r="A279" t="e">
        <f>IF(Query2[[#This Row],[ranking]]=1,Query2[[#This Row],[concatenationcolumn]],IF(Query2[[#This Row],[ranking]]=D276+1,Query2[[#This Row],[concatenationcolumn]],_xlfn.CONCAT(Query2[[#This Row],[wh]],"-",Query2[[#This Row],[Column1]])))</f>
        <v>#VALUE!</v>
      </c>
    </row>
    <row r="280" spans="1:1" x14ac:dyDescent="0.3">
      <c r="A280" t="e">
        <f>IF(Query2[[#This Row],[ranking]]=1,Query2[[#This Row],[concatenationcolumn]],IF(Query2[[#This Row],[ranking]]=D277+1,Query2[[#This Row],[concatenationcolumn]],_xlfn.CONCAT(Query2[[#This Row],[wh]],"-",Query2[[#This Row],[Column1]])))</f>
        <v>#VALUE!</v>
      </c>
    </row>
    <row r="281" spans="1:1" x14ac:dyDescent="0.3">
      <c r="A281" t="e">
        <f>IF(Query2[[#This Row],[ranking]]=1,Query2[[#This Row],[concatenationcolumn]],IF(Query2[[#This Row],[ranking]]=D278+1,Query2[[#This Row],[concatenationcolumn]],_xlfn.CONCAT(Query2[[#This Row],[wh]],"-",Query2[[#This Row],[Column1]])))</f>
        <v>#VALUE!</v>
      </c>
    </row>
    <row r="282" spans="1:1" x14ac:dyDescent="0.3">
      <c r="A282" t="e">
        <f>IF(Query2[[#This Row],[ranking]]=1,Query2[[#This Row],[concatenationcolumn]],IF(Query2[[#This Row],[ranking]]=D279+1,Query2[[#This Row],[concatenationcolumn]],_xlfn.CONCAT(Query2[[#This Row],[wh]],"-",Query2[[#This Row],[Column1]])))</f>
        <v>#VALUE!</v>
      </c>
    </row>
    <row r="283" spans="1:1" x14ac:dyDescent="0.3">
      <c r="A283" t="e">
        <f>IF(Query2[[#This Row],[ranking]]=1,Query2[[#This Row],[concatenationcolumn]],IF(Query2[[#This Row],[ranking]]=D280+1,Query2[[#This Row],[concatenationcolumn]],_xlfn.CONCAT(Query2[[#This Row],[wh]],"-",Query2[[#This Row],[Column1]])))</f>
        <v>#VALUE!</v>
      </c>
    </row>
    <row r="284" spans="1:1" x14ac:dyDescent="0.3">
      <c r="A284" t="e">
        <f>IF(Query2[[#This Row],[ranking]]=1,Query2[[#This Row],[concatenationcolumn]],IF(Query2[[#This Row],[ranking]]=D281+1,Query2[[#This Row],[concatenationcolumn]],_xlfn.CONCAT(Query2[[#This Row],[wh]],"-",Query2[[#This Row],[Column1]])))</f>
        <v>#VALUE!</v>
      </c>
    </row>
    <row r="285" spans="1:1" x14ac:dyDescent="0.3">
      <c r="A285" t="e">
        <f>IF(Query2[[#This Row],[ranking]]=1,Query2[[#This Row],[concatenationcolumn]],IF(Query2[[#This Row],[ranking]]=D282+1,Query2[[#This Row],[concatenationcolumn]],_xlfn.CONCAT(Query2[[#This Row],[wh]],"-",Query2[[#This Row],[Column1]])))</f>
        <v>#VALUE!</v>
      </c>
    </row>
    <row r="286" spans="1:1" x14ac:dyDescent="0.3">
      <c r="A286" t="e">
        <f>IF(Query2[[#This Row],[ranking]]=1,Query2[[#This Row],[concatenationcolumn]],IF(Query2[[#This Row],[ranking]]=D283+1,Query2[[#This Row],[concatenationcolumn]],_xlfn.CONCAT(Query2[[#This Row],[wh]],"-",Query2[[#This Row],[Column1]])))</f>
        <v>#VALUE!</v>
      </c>
    </row>
    <row r="287" spans="1:1" x14ac:dyDescent="0.3">
      <c r="A287" t="e">
        <f>IF(Query2[[#This Row],[ranking]]=1,Query2[[#This Row],[concatenationcolumn]],IF(Query2[[#This Row],[ranking]]=D284+1,Query2[[#This Row],[concatenationcolumn]],_xlfn.CONCAT(Query2[[#This Row],[wh]],"-",Query2[[#This Row],[Column1]])))</f>
        <v>#VALUE!</v>
      </c>
    </row>
    <row r="288" spans="1:1" x14ac:dyDescent="0.3">
      <c r="A288" t="e">
        <f>IF(Query2[[#This Row],[ranking]]=1,Query2[[#This Row],[concatenationcolumn]],IF(Query2[[#This Row],[ranking]]=D285+1,Query2[[#This Row],[concatenationcolumn]],_xlfn.CONCAT(Query2[[#This Row],[wh]],"-",Query2[[#This Row],[Column1]])))</f>
        <v>#VALUE!</v>
      </c>
    </row>
    <row r="289" spans="1:1" x14ac:dyDescent="0.3">
      <c r="A289" t="e">
        <f>IF(Query2[[#This Row],[ranking]]=1,Query2[[#This Row],[concatenationcolumn]],IF(Query2[[#This Row],[ranking]]=D286+1,Query2[[#This Row],[concatenationcolumn]],_xlfn.CONCAT(Query2[[#This Row],[wh]],"-",Query2[[#This Row],[Column1]])))</f>
        <v>#VALUE!</v>
      </c>
    </row>
    <row r="290" spans="1:1" x14ac:dyDescent="0.3">
      <c r="A290" t="e">
        <f>IF(Query2[[#This Row],[ranking]]=1,Query2[[#This Row],[concatenationcolumn]],IF(Query2[[#This Row],[ranking]]=D287+1,Query2[[#This Row],[concatenationcolumn]],_xlfn.CONCAT(Query2[[#This Row],[wh]],"-",Query2[[#This Row],[Column1]])))</f>
        <v>#VALUE!</v>
      </c>
    </row>
    <row r="291" spans="1:1" x14ac:dyDescent="0.3">
      <c r="A291" t="e">
        <f>IF(Query2[[#This Row],[ranking]]=1,Query2[[#This Row],[concatenationcolumn]],IF(Query2[[#This Row],[ranking]]=D288+1,Query2[[#This Row],[concatenationcolumn]],_xlfn.CONCAT(Query2[[#This Row],[wh]],"-",Query2[[#This Row],[Column1]])))</f>
        <v>#VALUE!</v>
      </c>
    </row>
    <row r="292" spans="1:1" x14ac:dyDescent="0.3">
      <c r="A292" t="e">
        <f>IF(Query2[[#This Row],[ranking]]=1,Query2[[#This Row],[concatenationcolumn]],IF(Query2[[#This Row],[ranking]]=D289+1,Query2[[#This Row],[concatenationcolumn]],_xlfn.CONCAT(Query2[[#This Row],[wh]],"-",Query2[[#This Row],[Column1]])))</f>
        <v>#VALUE!</v>
      </c>
    </row>
    <row r="293" spans="1:1" x14ac:dyDescent="0.3">
      <c r="A293" t="e">
        <f>IF(Query2[[#This Row],[ranking]]=1,Query2[[#This Row],[concatenationcolumn]],IF(Query2[[#This Row],[ranking]]=D290+1,Query2[[#This Row],[concatenationcolumn]],_xlfn.CONCAT(Query2[[#This Row],[wh]],"-",Query2[[#This Row],[Column1]])))</f>
        <v>#VALUE!</v>
      </c>
    </row>
    <row r="294" spans="1:1" x14ac:dyDescent="0.3">
      <c r="A294" t="e">
        <f>IF(Query2[[#This Row],[ranking]]=1,Query2[[#This Row],[concatenationcolumn]],IF(Query2[[#This Row],[ranking]]=D291+1,Query2[[#This Row],[concatenationcolumn]],_xlfn.CONCAT(Query2[[#This Row],[wh]],"-",Query2[[#This Row],[Column1]])))</f>
        <v>#VALUE!</v>
      </c>
    </row>
    <row r="295" spans="1:1" x14ac:dyDescent="0.3">
      <c r="A295" t="e">
        <f>IF(Query2[[#This Row],[ranking]]=1,Query2[[#This Row],[concatenationcolumn]],IF(Query2[[#This Row],[ranking]]=D292+1,Query2[[#This Row],[concatenationcolumn]],_xlfn.CONCAT(Query2[[#This Row],[wh]],"-",Query2[[#This Row],[Column1]])))</f>
        <v>#VALUE!</v>
      </c>
    </row>
    <row r="296" spans="1:1" x14ac:dyDescent="0.3">
      <c r="A296" t="e">
        <f>IF(Query2[[#This Row],[ranking]]=1,Query2[[#This Row],[concatenationcolumn]],IF(Query2[[#This Row],[ranking]]=D293+1,Query2[[#This Row],[concatenationcolumn]],_xlfn.CONCAT(Query2[[#This Row],[wh]],"-",Query2[[#This Row],[Column1]])))</f>
        <v>#VALUE!</v>
      </c>
    </row>
    <row r="297" spans="1:1" x14ac:dyDescent="0.3">
      <c r="A297" t="e">
        <f>IF(Query2[[#This Row],[ranking]]=1,Query2[[#This Row],[concatenationcolumn]],IF(Query2[[#This Row],[ranking]]=D294+1,Query2[[#This Row],[concatenationcolumn]],_xlfn.CONCAT(Query2[[#This Row],[wh]],"-",Query2[[#This Row],[Column1]])))</f>
        <v>#VALUE!</v>
      </c>
    </row>
    <row r="298" spans="1:1" x14ac:dyDescent="0.3">
      <c r="A298" t="e">
        <f>IF(Query2[[#This Row],[ranking]]=1,Query2[[#This Row],[concatenationcolumn]],IF(Query2[[#This Row],[ranking]]=D295+1,Query2[[#This Row],[concatenationcolumn]],_xlfn.CONCAT(Query2[[#This Row],[wh]],"-",Query2[[#This Row],[Column1]])))</f>
        <v>#VALUE!</v>
      </c>
    </row>
    <row r="299" spans="1:1" x14ac:dyDescent="0.3">
      <c r="A299" t="e">
        <f>IF(Query2[[#This Row],[ranking]]=1,Query2[[#This Row],[concatenationcolumn]],IF(Query2[[#This Row],[ranking]]=D296+1,Query2[[#This Row],[concatenationcolumn]],_xlfn.CONCAT(Query2[[#This Row],[wh]],"-",Query2[[#This Row],[Column1]])))</f>
        <v>#VALUE!</v>
      </c>
    </row>
    <row r="300" spans="1:1" x14ac:dyDescent="0.3">
      <c r="A300" t="e">
        <f>IF(Query2[[#This Row],[ranking]]=1,Query2[[#This Row],[concatenationcolumn]],IF(Query2[[#This Row],[ranking]]=D297+1,Query2[[#This Row],[concatenationcolumn]],_xlfn.CONCAT(Query2[[#This Row],[wh]],"-",Query2[[#This Row],[Column1]])))</f>
        <v>#VALUE!</v>
      </c>
    </row>
    <row r="301" spans="1:1" x14ac:dyDescent="0.3">
      <c r="A301" t="e">
        <f>IF(Query2[[#This Row],[ranking]]=1,Query2[[#This Row],[concatenationcolumn]],IF(Query2[[#This Row],[ranking]]=D298+1,Query2[[#This Row],[concatenationcolumn]],_xlfn.CONCAT(Query2[[#This Row],[wh]],"-",Query2[[#This Row],[Column1]])))</f>
        <v>#VALUE!</v>
      </c>
    </row>
    <row r="302" spans="1:1" x14ac:dyDescent="0.3">
      <c r="A302" t="e">
        <f>IF(Query2[[#This Row],[ranking]]=1,Query2[[#This Row],[concatenationcolumn]],IF(Query2[[#This Row],[ranking]]=D299+1,Query2[[#This Row],[concatenationcolumn]],_xlfn.CONCAT(Query2[[#This Row],[wh]],"-",Query2[[#This Row],[Column1]])))</f>
        <v>#VALUE!</v>
      </c>
    </row>
    <row r="303" spans="1:1" x14ac:dyDescent="0.3">
      <c r="A303" t="e">
        <f>IF(Query2[[#This Row],[ranking]]=1,Query2[[#This Row],[concatenationcolumn]],IF(Query2[[#This Row],[ranking]]=D300+1,Query2[[#This Row],[concatenationcolumn]],_xlfn.CONCAT(Query2[[#This Row],[wh]],"-",Query2[[#This Row],[Column1]])))</f>
        <v>#VALUE!</v>
      </c>
    </row>
    <row r="304" spans="1:1" x14ac:dyDescent="0.3">
      <c r="A304" t="e">
        <f>IF(Query2[[#This Row],[ranking]]=1,Query2[[#This Row],[concatenationcolumn]],IF(Query2[[#This Row],[ranking]]=D301+1,Query2[[#This Row],[concatenationcolumn]],_xlfn.CONCAT(Query2[[#This Row],[wh]],"-",Query2[[#This Row],[Column1]])))</f>
        <v>#VALUE!</v>
      </c>
    </row>
    <row r="305" spans="1:1" x14ac:dyDescent="0.3">
      <c r="A305" t="e">
        <f>IF(Query2[[#This Row],[ranking]]=1,Query2[[#This Row],[concatenationcolumn]],IF(Query2[[#This Row],[ranking]]=D302+1,Query2[[#This Row],[concatenationcolumn]],_xlfn.CONCAT(Query2[[#This Row],[wh]],"-",Query2[[#This Row],[Column1]])))</f>
        <v>#VALUE!</v>
      </c>
    </row>
    <row r="306" spans="1:1" x14ac:dyDescent="0.3">
      <c r="A306" t="e">
        <f>IF(Query2[[#This Row],[ranking]]=1,Query2[[#This Row],[concatenationcolumn]],IF(Query2[[#This Row],[ranking]]=D303+1,Query2[[#This Row],[concatenationcolumn]],_xlfn.CONCAT(Query2[[#This Row],[wh]],"-",Query2[[#This Row],[Column1]])))</f>
        <v>#VALUE!</v>
      </c>
    </row>
    <row r="307" spans="1:1" x14ac:dyDescent="0.3">
      <c r="A307" t="e">
        <f>IF(Query2[[#This Row],[ranking]]=1,Query2[[#This Row],[concatenationcolumn]],IF(Query2[[#This Row],[ranking]]=D304+1,Query2[[#This Row],[concatenationcolumn]],_xlfn.CONCAT(Query2[[#This Row],[wh]],"-",Query2[[#This Row],[Column1]])))</f>
        <v>#VALUE!</v>
      </c>
    </row>
    <row r="308" spans="1:1" x14ac:dyDescent="0.3">
      <c r="A308" t="e">
        <f>IF(Query2[[#This Row],[ranking]]=1,Query2[[#This Row],[concatenationcolumn]],IF(Query2[[#This Row],[ranking]]=D305+1,Query2[[#This Row],[concatenationcolumn]],_xlfn.CONCAT(Query2[[#This Row],[wh]],"-",Query2[[#This Row],[Column1]])))</f>
        <v>#VALUE!</v>
      </c>
    </row>
    <row r="309" spans="1:1" x14ac:dyDescent="0.3">
      <c r="A309" t="e">
        <f>IF(Query2[[#This Row],[ranking]]=1,Query2[[#This Row],[concatenationcolumn]],IF(Query2[[#This Row],[ranking]]=D306+1,Query2[[#This Row],[concatenationcolumn]],_xlfn.CONCAT(Query2[[#This Row],[wh]],"-",Query2[[#This Row],[Column1]])))</f>
        <v>#VALUE!</v>
      </c>
    </row>
    <row r="310" spans="1:1" x14ac:dyDescent="0.3">
      <c r="A310" t="e">
        <f>IF(Query2[[#This Row],[ranking]]=1,Query2[[#This Row],[concatenationcolumn]],IF(Query2[[#This Row],[ranking]]=D307+1,Query2[[#This Row],[concatenationcolumn]],_xlfn.CONCAT(Query2[[#This Row],[wh]],"-",Query2[[#This Row],[Column1]])))</f>
        <v>#VALUE!</v>
      </c>
    </row>
    <row r="311" spans="1:1" x14ac:dyDescent="0.3">
      <c r="A311" t="e">
        <f>IF(Query2[[#This Row],[ranking]]=1,Query2[[#This Row],[concatenationcolumn]],IF(Query2[[#This Row],[ranking]]=D308+1,Query2[[#This Row],[concatenationcolumn]],_xlfn.CONCAT(Query2[[#This Row],[wh]],"-",Query2[[#This Row],[Column1]])))</f>
        <v>#VALUE!</v>
      </c>
    </row>
    <row r="312" spans="1:1" x14ac:dyDescent="0.3">
      <c r="A312" t="e">
        <f>IF(Query2[[#This Row],[ranking]]=1,Query2[[#This Row],[concatenationcolumn]],IF(Query2[[#This Row],[ranking]]=D309+1,Query2[[#This Row],[concatenationcolumn]],_xlfn.CONCAT(Query2[[#This Row],[wh]],"-",Query2[[#This Row],[Column1]])))</f>
        <v>#VALUE!</v>
      </c>
    </row>
    <row r="313" spans="1:1" x14ac:dyDescent="0.3">
      <c r="A313" t="e">
        <f>IF(Query2[[#This Row],[ranking]]=1,Query2[[#This Row],[concatenationcolumn]],IF(Query2[[#This Row],[ranking]]=D310+1,Query2[[#This Row],[concatenationcolumn]],_xlfn.CONCAT(Query2[[#This Row],[wh]],"-",Query2[[#This Row],[Column1]])))</f>
        <v>#VALUE!</v>
      </c>
    </row>
    <row r="314" spans="1:1" x14ac:dyDescent="0.3">
      <c r="A314" t="e">
        <f>IF(Query2[[#This Row],[ranking]]=1,Query2[[#This Row],[concatenationcolumn]],IF(Query2[[#This Row],[ranking]]=D311+1,Query2[[#This Row],[concatenationcolumn]],_xlfn.CONCAT(Query2[[#This Row],[wh]],"-",Query2[[#This Row],[Column1]])))</f>
        <v>#VALUE!</v>
      </c>
    </row>
    <row r="315" spans="1:1" x14ac:dyDescent="0.3">
      <c r="A315" t="e">
        <f>IF(Query2[[#This Row],[ranking]]=1,Query2[[#This Row],[concatenationcolumn]],IF(Query2[[#This Row],[ranking]]=D312+1,Query2[[#This Row],[concatenationcolumn]],_xlfn.CONCAT(Query2[[#This Row],[wh]],"-",Query2[[#This Row],[Column1]])))</f>
        <v>#VALUE!</v>
      </c>
    </row>
    <row r="316" spans="1:1" x14ac:dyDescent="0.3">
      <c r="A316" t="e">
        <f>IF(Query2[[#This Row],[ranking]]=1,Query2[[#This Row],[concatenationcolumn]],IF(Query2[[#This Row],[ranking]]=D313+1,Query2[[#This Row],[concatenationcolumn]],_xlfn.CONCAT(Query2[[#This Row],[wh]],"-",Query2[[#This Row],[Column1]])))</f>
        <v>#VALUE!</v>
      </c>
    </row>
    <row r="317" spans="1:1" x14ac:dyDescent="0.3">
      <c r="A317" t="e">
        <f>IF(Query2[[#This Row],[ranking]]=1,Query2[[#This Row],[concatenationcolumn]],IF(Query2[[#This Row],[ranking]]=D314+1,Query2[[#This Row],[concatenationcolumn]],_xlfn.CONCAT(Query2[[#This Row],[wh]],"-",Query2[[#This Row],[Column1]])))</f>
        <v>#VALUE!</v>
      </c>
    </row>
    <row r="318" spans="1:1" x14ac:dyDescent="0.3">
      <c r="A318" t="e">
        <f>IF(Query2[[#This Row],[ranking]]=1,Query2[[#This Row],[concatenationcolumn]],IF(Query2[[#This Row],[ranking]]=D315+1,Query2[[#This Row],[concatenationcolumn]],_xlfn.CONCAT(Query2[[#This Row],[wh]],"-",Query2[[#This Row],[Column1]])))</f>
        <v>#VALUE!</v>
      </c>
    </row>
    <row r="319" spans="1:1" x14ac:dyDescent="0.3">
      <c r="A319" t="e">
        <f>IF(Query2[[#This Row],[ranking]]=1,Query2[[#This Row],[concatenationcolumn]],IF(Query2[[#This Row],[ranking]]=D316+1,Query2[[#This Row],[concatenationcolumn]],_xlfn.CONCAT(Query2[[#This Row],[wh]],"-",Query2[[#This Row],[Column1]])))</f>
        <v>#VALUE!</v>
      </c>
    </row>
    <row r="320" spans="1:1" x14ac:dyDescent="0.3">
      <c r="A320" t="e">
        <f>IF(Query2[[#This Row],[ranking]]=1,Query2[[#This Row],[concatenationcolumn]],IF(Query2[[#This Row],[ranking]]=D317+1,Query2[[#This Row],[concatenationcolumn]],_xlfn.CONCAT(Query2[[#This Row],[wh]],"-",Query2[[#This Row],[Column1]])))</f>
        <v>#VALUE!</v>
      </c>
    </row>
    <row r="321" spans="1:1" x14ac:dyDescent="0.3">
      <c r="A321" t="e">
        <f>IF(Query2[[#This Row],[ranking]]=1,Query2[[#This Row],[concatenationcolumn]],IF(Query2[[#This Row],[ranking]]=D318+1,Query2[[#This Row],[concatenationcolumn]],_xlfn.CONCAT(Query2[[#This Row],[wh]],"-",Query2[[#This Row],[Column1]])))</f>
        <v>#VALUE!</v>
      </c>
    </row>
    <row r="322" spans="1:1" x14ac:dyDescent="0.3">
      <c r="A322" t="e">
        <f>IF(Query2[[#This Row],[ranking]]=1,Query2[[#This Row],[concatenationcolumn]],IF(Query2[[#This Row],[ranking]]=D319+1,Query2[[#This Row],[concatenationcolumn]],_xlfn.CONCAT(Query2[[#This Row],[wh]],"-",Query2[[#This Row],[Column1]])))</f>
        <v>#VALUE!</v>
      </c>
    </row>
    <row r="323" spans="1:1" x14ac:dyDescent="0.3">
      <c r="A323" t="e">
        <f>IF(Query2[[#This Row],[ranking]]=1,Query2[[#This Row],[concatenationcolumn]],IF(Query2[[#This Row],[ranking]]=D320+1,Query2[[#This Row],[concatenationcolumn]],_xlfn.CONCAT(Query2[[#This Row],[wh]],"-",Query2[[#This Row],[Column1]])))</f>
        <v>#VALUE!</v>
      </c>
    </row>
    <row r="324" spans="1:1" x14ac:dyDescent="0.3">
      <c r="A324" t="e">
        <f>IF(Query2[[#This Row],[ranking]]=1,Query2[[#This Row],[concatenationcolumn]],IF(Query2[[#This Row],[ranking]]=D321+1,Query2[[#This Row],[concatenationcolumn]],_xlfn.CONCAT(Query2[[#This Row],[wh]],"-",Query2[[#This Row],[Column1]])))</f>
        <v>#VALUE!</v>
      </c>
    </row>
    <row r="325" spans="1:1" x14ac:dyDescent="0.3">
      <c r="A325" t="e">
        <f>IF(Query2[[#This Row],[ranking]]=1,Query2[[#This Row],[concatenationcolumn]],IF(Query2[[#This Row],[ranking]]=D322+1,Query2[[#This Row],[concatenationcolumn]],_xlfn.CONCAT(Query2[[#This Row],[wh]],"-",Query2[[#This Row],[Column1]])))</f>
        <v>#VALUE!</v>
      </c>
    </row>
    <row r="326" spans="1:1" x14ac:dyDescent="0.3">
      <c r="A326" t="e">
        <f>IF(Query2[[#This Row],[ranking]]=1,Query2[[#This Row],[concatenationcolumn]],IF(Query2[[#This Row],[ranking]]=D323+1,Query2[[#This Row],[concatenationcolumn]],_xlfn.CONCAT(Query2[[#This Row],[wh]],"-",Query2[[#This Row],[Column1]])))</f>
        <v>#VALUE!</v>
      </c>
    </row>
    <row r="327" spans="1:1" x14ac:dyDescent="0.3">
      <c r="A327" t="e">
        <f>IF(Query2[[#This Row],[ranking]]=1,Query2[[#This Row],[concatenationcolumn]],IF(Query2[[#This Row],[ranking]]=D324+1,Query2[[#This Row],[concatenationcolumn]],_xlfn.CONCAT(Query2[[#This Row],[wh]],"-",Query2[[#This Row],[Column1]])))</f>
        <v>#VALUE!</v>
      </c>
    </row>
    <row r="328" spans="1:1" x14ac:dyDescent="0.3">
      <c r="A328" t="e">
        <f>IF(Query2[[#This Row],[ranking]]=1,Query2[[#This Row],[concatenationcolumn]],IF(Query2[[#This Row],[ranking]]=D325+1,Query2[[#This Row],[concatenationcolumn]],_xlfn.CONCAT(Query2[[#This Row],[wh]],"-",Query2[[#This Row],[Column1]])))</f>
        <v>#VALUE!</v>
      </c>
    </row>
    <row r="329" spans="1:1" x14ac:dyDescent="0.3">
      <c r="A329" t="e">
        <f>IF(Query2[[#This Row],[ranking]]=1,Query2[[#This Row],[concatenationcolumn]],IF(Query2[[#This Row],[ranking]]=D326+1,Query2[[#This Row],[concatenationcolumn]],_xlfn.CONCAT(Query2[[#This Row],[wh]],"-",Query2[[#This Row],[Column1]])))</f>
        <v>#VALUE!</v>
      </c>
    </row>
    <row r="330" spans="1:1" x14ac:dyDescent="0.3">
      <c r="A330" t="e">
        <f>IF(Query2[[#This Row],[ranking]]=1,Query2[[#This Row],[concatenationcolumn]],IF(Query2[[#This Row],[ranking]]=D327+1,Query2[[#This Row],[concatenationcolumn]],_xlfn.CONCAT(Query2[[#This Row],[wh]],"-",Query2[[#This Row],[Column1]])))</f>
        <v>#VALUE!</v>
      </c>
    </row>
    <row r="331" spans="1:1" x14ac:dyDescent="0.3">
      <c r="A331" t="e">
        <f>IF(Query2[[#This Row],[ranking]]=1,Query2[[#This Row],[concatenationcolumn]],IF(Query2[[#This Row],[ranking]]=D328+1,Query2[[#This Row],[concatenationcolumn]],_xlfn.CONCAT(Query2[[#This Row],[wh]],"-",Query2[[#This Row],[Column1]])))</f>
        <v>#VALUE!</v>
      </c>
    </row>
    <row r="332" spans="1:1" x14ac:dyDescent="0.3">
      <c r="A332" t="e">
        <f>IF(Query2[[#This Row],[ranking]]=1,Query2[[#This Row],[concatenationcolumn]],IF(Query2[[#This Row],[ranking]]=D329+1,Query2[[#This Row],[concatenationcolumn]],_xlfn.CONCAT(Query2[[#This Row],[wh]],"-",Query2[[#This Row],[Column1]])))</f>
        <v>#VALUE!</v>
      </c>
    </row>
    <row r="333" spans="1:1" x14ac:dyDescent="0.3">
      <c r="A333" t="e">
        <f>IF(Query2[[#This Row],[ranking]]=1,Query2[[#This Row],[concatenationcolumn]],IF(Query2[[#This Row],[ranking]]=D330+1,Query2[[#This Row],[concatenationcolumn]],_xlfn.CONCAT(Query2[[#This Row],[wh]],"-",Query2[[#This Row],[Column1]])))</f>
        <v>#VALUE!</v>
      </c>
    </row>
    <row r="334" spans="1:1" x14ac:dyDescent="0.3">
      <c r="A334" t="e">
        <f>IF(Query2[[#This Row],[ranking]]=1,Query2[[#This Row],[concatenationcolumn]],IF(Query2[[#This Row],[ranking]]=D331+1,Query2[[#This Row],[concatenationcolumn]],_xlfn.CONCAT(Query2[[#This Row],[wh]],"-",Query2[[#This Row],[Column1]])))</f>
        <v>#VALUE!</v>
      </c>
    </row>
    <row r="335" spans="1:1" x14ac:dyDescent="0.3">
      <c r="A335" t="e">
        <f>IF(Query2[[#This Row],[ranking]]=1,Query2[[#This Row],[concatenationcolumn]],IF(Query2[[#This Row],[ranking]]=D332+1,Query2[[#This Row],[concatenationcolumn]],_xlfn.CONCAT(Query2[[#This Row],[wh]],"-",Query2[[#This Row],[Column1]])))</f>
        <v>#VALUE!</v>
      </c>
    </row>
    <row r="336" spans="1:1" x14ac:dyDescent="0.3">
      <c r="A336" t="e">
        <f>IF(Query2[[#This Row],[ranking]]=1,Query2[[#This Row],[concatenationcolumn]],IF(Query2[[#This Row],[ranking]]=D333+1,Query2[[#This Row],[concatenationcolumn]],_xlfn.CONCAT(Query2[[#This Row],[wh]],"-",Query2[[#This Row],[Column1]])))</f>
        <v>#VALUE!</v>
      </c>
    </row>
    <row r="337" spans="1:1" x14ac:dyDescent="0.3">
      <c r="A337" t="e">
        <f>IF(Query2[[#This Row],[ranking]]=1,Query2[[#This Row],[concatenationcolumn]],IF(Query2[[#This Row],[ranking]]=D334+1,Query2[[#This Row],[concatenationcolumn]],_xlfn.CONCAT(Query2[[#This Row],[wh]],"-",Query2[[#This Row],[Column1]])))</f>
        <v>#VALUE!</v>
      </c>
    </row>
    <row r="338" spans="1:1" x14ac:dyDescent="0.3">
      <c r="A338" t="e">
        <f>IF(Query2[[#This Row],[ranking]]=1,Query2[[#This Row],[concatenationcolumn]],IF(Query2[[#This Row],[ranking]]=D335+1,Query2[[#This Row],[concatenationcolumn]],_xlfn.CONCAT(Query2[[#This Row],[wh]],"-",Query2[[#This Row],[Column1]])))</f>
        <v>#VALUE!</v>
      </c>
    </row>
    <row r="339" spans="1:1" x14ac:dyDescent="0.3">
      <c r="A339" t="e">
        <f>IF(Query2[[#This Row],[ranking]]=1,Query2[[#This Row],[concatenationcolumn]],IF(Query2[[#This Row],[ranking]]=D336+1,Query2[[#This Row],[concatenationcolumn]],_xlfn.CONCAT(Query2[[#This Row],[wh]],"-",Query2[[#This Row],[Column1]])))</f>
        <v>#VALUE!</v>
      </c>
    </row>
    <row r="340" spans="1:1" x14ac:dyDescent="0.3">
      <c r="A340" t="e">
        <f>IF(Query2[[#This Row],[ranking]]=1,Query2[[#This Row],[concatenationcolumn]],IF(Query2[[#This Row],[ranking]]=D337+1,Query2[[#This Row],[concatenationcolumn]],_xlfn.CONCAT(Query2[[#This Row],[wh]],"-",Query2[[#This Row],[Column1]])))</f>
        <v>#VALUE!</v>
      </c>
    </row>
    <row r="341" spans="1:1" x14ac:dyDescent="0.3">
      <c r="A341" t="e">
        <f>IF(Query2[[#This Row],[ranking]]=1,Query2[[#This Row],[concatenationcolumn]],IF(Query2[[#This Row],[ranking]]=D338+1,Query2[[#This Row],[concatenationcolumn]],_xlfn.CONCAT(Query2[[#This Row],[wh]],"-",Query2[[#This Row],[Column1]])))</f>
        <v>#VALUE!</v>
      </c>
    </row>
    <row r="342" spans="1:1" x14ac:dyDescent="0.3">
      <c r="A342" t="e">
        <f>IF(Query2[[#This Row],[ranking]]=1,Query2[[#This Row],[concatenationcolumn]],IF(Query2[[#This Row],[ranking]]=D339+1,Query2[[#This Row],[concatenationcolumn]],_xlfn.CONCAT(Query2[[#This Row],[wh]],"-",Query2[[#This Row],[Column1]])))</f>
        <v>#VALUE!</v>
      </c>
    </row>
    <row r="343" spans="1:1" x14ac:dyDescent="0.3">
      <c r="A343" t="e">
        <f>IF(Query2[[#This Row],[ranking]]=1,Query2[[#This Row],[concatenationcolumn]],IF(Query2[[#This Row],[ranking]]=D340+1,Query2[[#This Row],[concatenationcolumn]],_xlfn.CONCAT(Query2[[#This Row],[wh]],"-",Query2[[#This Row],[Column1]])))</f>
        <v>#VALUE!</v>
      </c>
    </row>
    <row r="344" spans="1:1" x14ac:dyDescent="0.3">
      <c r="A344" t="e">
        <f>IF(Query2[[#This Row],[ranking]]=1,Query2[[#This Row],[concatenationcolumn]],IF(Query2[[#This Row],[ranking]]=D341+1,Query2[[#This Row],[concatenationcolumn]],_xlfn.CONCAT(Query2[[#This Row],[wh]],"-",Query2[[#This Row],[Column1]])))</f>
        <v>#VALUE!</v>
      </c>
    </row>
    <row r="345" spans="1:1" x14ac:dyDescent="0.3">
      <c r="A345" t="e">
        <f>IF(Query2[[#This Row],[ranking]]=1,Query2[[#This Row],[concatenationcolumn]],IF(Query2[[#This Row],[ranking]]=D342+1,Query2[[#This Row],[concatenationcolumn]],_xlfn.CONCAT(Query2[[#This Row],[wh]],"-",Query2[[#This Row],[Column1]])))</f>
        <v>#VALUE!</v>
      </c>
    </row>
    <row r="346" spans="1:1" x14ac:dyDescent="0.3">
      <c r="A346" t="e">
        <f>IF(Query2[[#This Row],[ranking]]=1,Query2[[#This Row],[concatenationcolumn]],IF(Query2[[#This Row],[ranking]]=D343+1,Query2[[#This Row],[concatenationcolumn]],_xlfn.CONCAT(Query2[[#This Row],[wh]],"-",Query2[[#This Row],[Column1]])))</f>
        <v>#VALUE!</v>
      </c>
    </row>
    <row r="347" spans="1:1" x14ac:dyDescent="0.3">
      <c r="A347" t="e">
        <f>IF(Query2[[#This Row],[ranking]]=1,Query2[[#This Row],[concatenationcolumn]],IF(Query2[[#This Row],[ranking]]=D344+1,Query2[[#This Row],[concatenationcolumn]],_xlfn.CONCAT(Query2[[#This Row],[wh]],"-",Query2[[#This Row],[Column1]])))</f>
        <v>#VALUE!</v>
      </c>
    </row>
    <row r="348" spans="1:1" x14ac:dyDescent="0.3">
      <c r="A348" t="e">
        <f>IF(Query2[[#This Row],[ranking]]=1,Query2[[#This Row],[concatenationcolumn]],IF(Query2[[#This Row],[ranking]]=D345+1,Query2[[#This Row],[concatenationcolumn]],_xlfn.CONCAT(Query2[[#This Row],[wh]],"-",Query2[[#This Row],[Column1]])))</f>
        <v>#VALUE!</v>
      </c>
    </row>
    <row r="349" spans="1:1" x14ac:dyDescent="0.3">
      <c r="A349" t="e">
        <f>IF(Query2[[#This Row],[ranking]]=1,Query2[[#This Row],[concatenationcolumn]],IF(Query2[[#This Row],[ranking]]=D346+1,Query2[[#This Row],[concatenationcolumn]],_xlfn.CONCAT(Query2[[#This Row],[wh]],"-",Query2[[#This Row],[Column1]])))</f>
        <v>#VALUE!</v>
      </c>
    </row>
    <row r="350" spans="1:1" x14ac:dyDescent="0.3">
      <c r="A350" t="e">
        <f>IF(Query2[[#This Row],[ranking]]=1,Query2[[#This Row],[concatenationcolumn]],IF(Query2[[#This Row],[ranking]]=D347+1,Query2[[#This Row],[concatenationcolumn]],_xlfn.CONCAT(Query2[[#This Row],[wh]],"-",Query2[[#This Row],[Column1]])))</f>
        <v>#VALUE!</v>
      </c>
    </row>
    <row r="351" spans="1:1" x14ac:dyDescent="0.3">
      <c r="A351" t="e">
        <f>IF(Query2[[#This Row],[ranking]]=1,Query2[[#This Row],[concatenationcolumn]],IF(Query2[[#This Row],[ranking]]=D348+1,Query2[[#This Row],[concatenationcolumn]],_xlfn.CONCAT(Query2[[#This Row],[wh]],"-",Query2[[#This Row],[Column1]])))</f>
        <v>#VALUE!</v>
      </c>
    </row>
    <row r="352" spans="1:1" x14ac:dyDescent="0.3">
      <c r="A352" t="e">
        <f>IF(Query2[[#This Row],[ranking]]=1,Query2[[#This Row],[concatenationcolumn]],IF(Query2[[#This Row],[ranking]]=D349+1,Query2[[#This Row],[concatenationcolumn]],_xlfn.CONCAT(Query2[[#This Row],[wh]],"-",Query2[[#This Row],[Column1]])))</f>
        <v>#VALUE!</v>
      </c>
    </row>
    <row r="353" spans="1:1" x14ac:dyDescent="0.3">
      <c r="A353" t="e">
        <f>IF(Query2[[#This Row],[ranking]]=1,Query2[[#This Row],[concatenationcolumn]],IF(Query2[[#This Row],[ranking]]=D350+1,Query2[[#This Row],[concatenationcolumn]],_xlfn.CONCAT(Query2[[#This Row],[wh]],"-",Query2[[#This Row],[Column1]])))</f>
        <v>#VALUE!</v>
      </c>
    </row>
    <row r="354" spans="1:1" x14ac:dyDescent="0.3">
      <c r="A354" t="e">
        <f>IF(Query2[[#This Row],[ranking]]=1,Query2[[#This Row],[concatenationcolumn]],IF(Query2[[#This Row],[ranking]]=D351+1,Query2[[#This Row],[concatenationcolumn]],_xlfn.CONCAT(Query2[[#This Row],[wh]],"-",Query2[[#This Row],[Column1]])))</f>
        <v>#VALUE!</v>
      </c>
    </row>
    <row r="355" spans="1:1" x14ac:dyDescent="0.3">
      <c r="A355" t="e">
        <f>IF(Query2[[#This Row],[ranking]]=1,Query2[[#This Row],[concatenationcolumn]],IF(Query2[[#This Row],[ranking]]=D352+1,Query2[[#This Row],[concatenationcolumn]],_xlfn.CONCAT(Query2[[#This Row],[wh]],"-",Query2[[#This Row],[Column1]])))</f>
        <v>#VALUE!</v>
      </c>
    </row>
    <row r="356" spans="1:1" x14ac:dyDescent="0.3">
      <c r="A356" t="e">
        <f>IF(Query2[[#This Row],[ranking]]=1,Query2[[#This Row],[concatenationcolumn]],IF(Query2[[#This Row],[ranking]]=D353+1,Query2[[#This Row],[concatenationcolumn]],_xlfn.CONCAT(Query2[[#This Row],[wh]],"-",Query2[[#This Row],[Column1]])))</f>
        <v>#VALUE!</v>
      </c>
    </row>
    <row r="357" spans="1:1" x14ac:dyDescent="0.3">
      <c r="A357" t="e">
        <f>IF(Query2[[#This Row],[ranking]]=1,Query2[[#This Row],[concatenationcolumn]],IF(Query2[[#This Row],[ranking]]=D354+1,Query2[[#This Row],[concatenationcolumn]],_xlfn.CONCAT(Query2[[#This Row],[wh]],"-",Query2[[#This Row],[Column1]])))</f>
        <v>#VALUE!</v>
      </c>
    </row>
    <row r="358" spans="1:1" x14ac:dyDescent="0.3">
      <c r="A358" t="e">
        <f>IF(Query2[[#This Row],[ranking]]=1,Query2[[#This Row],[concatenationcolumn]],IF(Query2[[#This Row],[ranking]]=D355+1,Query2[[#This Row],[concatenationcolumn]],_xlfn.CONCAT(Query2[[#This Row],[wh]],"-",Query2[[#This Row],[Column1]])))</f>
        <v>#VALUE!</v>
      </c>
    </row>
    <row r="359" spans="1:1" x14ac:dyDescent="0.3">
      <c r="A359" t="e">
        <f>IF(Query2[[#This Row],[ranking]]=1,Query2[[#This Row],[concatenationcolumn]],IF(Query2[[#This Row],[ranking]]=D356+1,Query2[[#This Row],[concatenationcolumn]],_xlfn.CONCAT(Query2[[#This Row],[wh]],"-",Query2[[#This Row],[Column1]])))</f>
        <v>#VALUE!</v>
      </c>
    </row>
    <row r="360" spans="1:1" x14ac:dyDescent="0.3">
      <c r="A360" t="e">
        <f>IF(Query2[[#This Row],[ranking]]=1,Query2[[#This Row],[concatenationcolumn]],IF(Query2[[#This Row],[ranking]]=D357+1,Query2[[#This Row],[concatenationcolumn]],_xlfn.CONCAT(Query2[[#This Row],[wh]],"-",Query2[[#This Row],[Column1]])))</f>
        <v>#VALUE!</v>
      </c>
    </row>
    <row r="361" spans="1:1" x14ac:dyDescent="0.3">
      <c r="A361" t="e">
        <f>IF(Query2[[#This Row],[ranking]]=1,Query2[[#This Row],[concatenationcolumn]],IF(Query2[[#This Row],[ranking]]=D358+1,Query2[[#This Row],[concatenationcolumn]],_xlfn.CONCAT(Query2[[#This Row],[wh]],"-",Query2[[#This Row],[Column1]])))</f>
        <v>#VALUE!</v>
      </c>
    </row>
    <row r="362" spans="1:1" x14ac:dyDescent="0.3">
      <c r="A362" t="e">
        <f>IF(Query2[[#This Row],[ranking]]=1,Query2[[#This Row],[concatenationcolumn]],IF(Query2[[#This Row],[ranking]]=D359+1,Query2[[#This Row],[concatenationcolumn]],_xlfn.CONCAT(Query2[[#This Row],[wh]],"-",Query2[[#This Row],[Column1]])))</f>
        <v>#VALUE!</v>
      </c>
    </row>
    <row r="363" spans="1:1" x14ac:dyDescent="0.3">
      <c r="A363" t="e">
        <f>IF(Query2[[#This Row],[ranking]]=1,Query2[[#This Row],[concatenationcolumn]],IF(Query2[[#This Row],[ranking]]=D360+1,Query2[[#This Row],[concatenationcolumn]],_xlfn.CONCAT(Query2[[#This Row],[wh]],"-",Query2[[#This Row],[Column1]])))</f>
        <v>#VALUE!</v>
      </c>
    </row>
    <row r="364" spans="1:1" x14ac:dyDescent="0.3">
      <c r="A364" t="e">
        <f>IF(Query2[[#This Row],[ranking]]=1,Query2[[#This Row],[concatenationcolumn]],IF(Query2[[#This Row],[ranking]]=D361+1,Query2[[#This Row],[concatenationcolumn]],_xlfn.CONCAT(Query2[[#This Row],[wh]],"-",Query2[[#This Row],[Column1]])))</f>
        <v>#VALUE!</v>
      </c>
    </row>
    <row r="365" spans="1:1" x14ac:dyDescent="0.3">
      <c r="A365" t="e">
        <f>IF(Query2[[#This Row],[ranking]]=1,Query2[[#This Row],[concatenationcolumn]],IF(Query2[[#This Row],[ranking]]=D362+1,Query2[[#This Row],[concatenationcolumn]],_xlfn.CONCAT(Query2[[#This Row],[wh]],"-",Query2[[#This Row],[Column1]])))</f>
        <v>#VALUE!</v>
      </c>
    </row>
    <row r="366" spans="1:1" x14ac:dyDescent="0.3">
      <c r="A366" t="e">
        <f>IF(Query2[[#This Row],[ranking]]=1,Query2[[#This Row],[concatenationcolumn]],IF(Query2[[#This Row],[ranking]]=D363+1,Query2[[#This Row],[concatenationcolumn]],_xlfn.CONCAT(Query2[[#This Row],[wh]],"-",Query2[[#This Row],[Column1]])))</f>
        <v>#VALUE!</v>
      </c>
    </row>
    <row r="367" spans="1:1" x14ac:dyDescent="0.3">
      <c r="A367" t="e">
        <f>IF(Query2[[#This Row],[ranking]]=1,Query2[[#This Row],[concatenationcolumn]],IF(Query2[[#This Row],[ranking]]=D364+1,Query2[[#This Row],[concatenationcolumn]],_xlfn.CONCAT(Query2[[#This Row],[wh]],"-",Query2[[#This Row],[Column1]])))</f>
        <v>#VALUE!</v>
      </c>
    </row>
    <row r="368" spans="1:1" x14ac:dyDescent="0.3">
      <c r="A368" t="e">
        <f>IF(Query2[[#This Row],[ranking]]=1,Query2[[#This Row],[concatenationcolumn]],IF(Query2[[#This Row],[ranking]]=D365+1,Query2[[#This Row],[concatenationcolumn]],_xlfn.CONCAT(Query2[[#This Row],[wh]],"-",Query2[[#This Row],[Column1]])))</f>
        <v>#VALUE!</v>
      </c>
    </row>
    <row r="369" spans="1:1" x14ac:dyDescent="0.3">
      <c r="A369" t="e">
        <f>IF(Query2[[#This Row],[ranking]]=1,Query2[[#This Row],[concatenationcolumn]],IF(Query2[[#This Row],[ranking]]=D366+1,Query2[[#This Row],[concatenationcolumn]],_xlfn.CONCAT(Query2[[#This Row],[wh]],"-",Query2[[#This Row],[Column1]])))</f>
        <v>#VALUE!</v>
      </c>
    </row>
    <row r="370" spans="1:1" x14ac:dyDescent="0.3">
      <c r="A370" t="e">
        <f>IF(Query2[[#This Row],[ranking]]=1,Query2[[#This Row],[concatenationcolumn]],IF(Query2[[#This Row],[ranking]]=D367+1,Query2[[#This Row],[concatenationcolumn]],_xlfn.CONCAT(Query2[[#This Row],[wh]],"-",Query2[[#This Row],[Column1]])))</f>
        <v>#VALUE!</v>
      </c>
    </row>
    <row r="371" spans="1:1" x14ac:dyDescent="0.3">
      <c r="A371" t="e">
        <f>IF(Query2[[#This Row],[ranking]]=1,Query2[[#This Row],[concatenationcolumn]],IF(Query2[[#This Row],[ranking]]=D368+1,Query2[[#This Row],[concatenationcolumn]],_xlfn.CONCAT(Query2[[#This Row],[wh]],"-",Query2[[#This Row],[Column1]])))</f>
        <v>#VALUE!</v>
      </c>
    </row>
    <row r="372" spans="1:1" x14ac:dyDescent="0.3">
      <c r="A372" t="e">
        <f>IF(Query2[[#This Row],[ranking]]=1,Query2[[#This Row],[concatenationcolumn]],IF(Query2[[#This Row],[ranking]]=D369+1,Query2[[#This Row],[concatenationcolumn]],_xlfn.CONCAT(Query2[[#This Row],[wh]],"-",Query2[[#This Row],[Column1]])))</f>
        <v>#VALUE!</v>
      </c>
    </row>
    <row r="373" spans="1:1" x14ac:dyDescent="0.3">
      <c r="A373" t="e">
        <f>IF(Query2[[#This Row],[ranking]]=1,Query2[[#This Row],[concatenationcolumn]],IF(Query2[[#This Row],[ranking]]=D370+1,Query2[[#This Row],[concatenationcolumn]],_xlfn.CONCAT(Query2[[#This Row],[wh]],"-",Query2[[#This Row],[Column1]])))</f>
        <v>#VALUE!</v>
      </c>
    </row>
    <row r="374" spans="1:1" x14ac:dyDescent="0.3">
      <c r="A374" t="e">
        <f>IF(Query2[[#This Row],[ranking]]=1,Query2[[#This Row],[concatenationcolumn]],IF(Query2[[#This Row],[ranking]]=D371+1,Query2[[#This Row],[concatenationcolumn]],_xlfn.CONCAT(Query2[[#This Row],[wh]],"-",Query2[[#This Row],[Column1]])))</f>
        <v>#VALUE!</v>
      </c>
    </row>
    <row r="375" spans="1:1" x14ac:dyDescent="0.3">
      <c r="A375" t="e">
        <f>IF(Query2[[#This Row],[ranking]]=1,Query2[[#This Row],[concatenationcolumn]],IF(Query2[[#This Row],[ranking]]=D372+1,Query2[[#This Row],[concatenationcolumn]],_xlfn.CONCAT(Query2[[#This Row],[wh]],"-",Query2[[#This Row],[Column1]])))</f>
        <v>#VALUE!</v>
      </c>
    </row>
    <row r="376" spans="1:1" x14ac:dyDescent="0.3">
      <c r="A376" t="e">
        <f>IF(Query2[[#This Row],[ranking]]=1,Query2[[#This Row],[concatenationcolumn]],IF(Query2[[#This Row],[ranking]]=D373+1,Query2[[#This Row],[concatenationcolumn]],_xlfn.CONCAT(Query2[[#This Row],[wh]],"-",Query2[[#This Row],[Column1]])))</f>
        <v>#VALUE!</v>
      </c>
    </row>
    <row r="377" spans="1:1" x14ac:dyDescent="0.3">
      <c r="A377" t="e">
        <f>IF(Query2[[#This Row],[ranking]]=1,Query2[[#This Row],[concatenationcolumn]],IF(Query2[[#This Row],[ranking]]=D374+1,Query2[[#This Row],[concatenationcolumn]],_xlfn.CONCAT(Query2[[#This Row],[wh]],"-",Query2[[#This Row],[Column1]])))</f>
        <v>#VALUE!</v>
      </c>
    </row>
    <row r="378" spans="1:1" x14ac:dyDescent="0.3">
      <c r="A378" t="e">
        <f>IF(Query2[[#This Row],[ranking]]=1,Query2[[#This Row],[concatenationcolumn]],IF(Query2[[#This Row],[ranking]]=D375+1,Query2[[#This Row],[concatenationcolumn]],_xlfn.CONCAT(Query2[[#This Row],[wh]],"-",Query2[[#This Row],[Column1]])))</f>
        <v>#VALUE!</v>
      </c>
    </row>
    <row r="379" spans="1:1" x14ac:dyDescent="0.3">
      <c r="A379" t="e">
        <f>IF(Query2[[#This Row],[ranking]]=1,Query2[[#This Row],[concatenationcolumn]],IF(Query2[[#This Row],[ranking]]=D376+1,Query2[[#This Row],[concatenationcolumn]],_xlfn.CONCAT(Query2[[#This Row],[wh]],"-",Query2[[#This Row],[Column1]])))</f>
        <v>#VALUE!</v>
      </c>
    </row>
    <row r="380" spans="1:1" x14ac:dyDescent="0.3">
      <c r="A380" t="e">
        <f>IF(Query2[[#This Row],[ranking]]=1,Query2[[#This Row],[concatenationcolumn]],IF(Query2[[#This Row],[ranking]]=D377+1,Query2[[#This Row],[concatenationcolumn]],_xlfn.CONCAT(Query2[[#This Row],[wh]],"-",Query2[[#This Row],[Column1]])))</f>
        <v>#VALUE!</v>
      </c>
    </row>
    <row r="381" spans="1:1" x14ac:dyDescent="0.3">
      <c r="A381" t="e">
        <f>IF(Query2[[#This Row],[ranking]]=1,Query2[[#This Row],[concatenationcolumn]],IF(Query2[[#This Row],[ranking]]=D378+1,Query2[[#This Row],[concatenationcolumn]],_xlfn.CONCAT(Query2[[#This Row],[wh]],"-",Query2[[#This Row],[Column1]])))</f>
        <v>#VALUE!</v>
      </c>
    </row>
    <row r="382" spans="1:1" x14ac:dyDescent="0.3">
      <c r="A382" t="e">
        <f>IF(Query2[[#This Row],[ranking]]=1,Query2[[#This Row],[concatenationcolumn]],IF(Query2[[#This Row],[ranking]]=D379+1,Query2[[#This Row],[concatenationcolumn]],_xlfn.CONCAT(Query2[[#This Row],[wh]],"-",Query2[[#This Row],[Column1]])))</f>
        <v>#VALUE!</v>
      </c>
    </row>
    <row r="383" spans="1:1" x14ac:dyDescent="0.3">
      <c r="A383" t="e">
        <f>IF(Query2[[#This Row],[ranking]]=1,Query2[[#This Row],[concatenationcolumn]],IF(Query2[[#This Row],[ranking]]=D380+1,Query2[[#This Row],[concatenationcolumn]],_xlfn.CONCAT(Query2[[#This Row],[wh]],"-",Query2[[#This Row],[Column1]])))</f>
        <v>#VALUE!</v>
      </c>
    </row>
    <row r="384" spans="1:1" x14ac:dyDescent="0.3">
      <c r="A384" t="e">
        <f>IF(Query2[[#This Row],[ranking]]=1,Query2[[#This Row],[concatenationcolumn]],IF(Query2[[#This Row],[ranking]]=D381+1,Query2[[#This Row],[concatenationcolumn]],_xlfn.CONCAT(Query2[[#This Row],[wh]],"-",Query2[[#This Row],[Column1]])))</f>
        <v>#VALUE!</v>
      </c>
    </row>
    <row r="385" spans="1:1" x14ac:dyDescent="0.3">
      <c r="A385" t="e">
        <f>IF(Query2[[#This Row],[ranking]]=1,Query2[[#This Row],[concatenationcolumn]],IF(Query2[[#This Row],[ranking]]=D382+1,Query2[[#This Row],[concatenationcolumn]],_xlfn.CONCAT(Query2[[#This Row],[wh]],"-",Query2[[#This Row],[Column1]])))</f>
        <v>#VALUE!</v>
      </c>
    </row>
    <row r="386" spans="1:1" x14ac:dyDescent="0.3">
      <c r="A386" t="e">
        <f>IF(Query2[[#This Row],[ranking]]=1,Query2[[#This Row],[concatenationcolumn]],IF(Query2[[#This Row],[ranking]]=D383+1,Query2[[#This Row],[concatenationcolumn]],_xlfn.CONCAT(Query2[[#This Row],[wh]],"-",Query2[[#This Row],[Column1]])))</f>
        <v>#VALUE!</v>
      </c>
    </row>
    <row r="387" spans="1:1" x14ac:dyDescent="0.3">
      <c r="A387" t="e">
        <f>IF(Query2[[#This Row],[ranking]]=1,Query2[[#This Row],[concatenationcolumn]],IF(Query2[[#This Row],[ranking]]=D384+1,Query2[[#This Row],[concatenationcolumn]],_xlfn.CONCAT(Query2[[#This Row],[wh]],"-",Query2[[#This Row],[Column1]])))</f>
        <v>#VALUE!</v>
      </c>
    </row>
    <row r="388" spans="1:1" x14ac:dyDescent="0.3">
      <c r="A388" t="e">
        <f>IF(Query2[[#This Row],[ranking]]=1,Query2[[#This Row],[concatenationcolumn]],IF(Query2[[#This Row],[ranking]]=D385+1,Query2[[#This Row],[concatenationcolumn]],_xlfn.CONCAT(Query2[[#This Row],[wh]],"-",Query2[[#This Row],[Column1]])))</f>
        <v>#VALUE!</v>
      </c>
    </row>
    <row r="389" spans="1:1" x14ac:dyDescent="0.3">
      <c r="A389" t="e">
        <f>IF(Query2[[#This Row],[ranking]]=1,Query2[[#This Row],[concatenationcolumn]],IF(Query2[[#This Row],[ranking]]=D386+1,Query2[[#This Row],[concatenationcolumn]],_xlfn.CONCAT(Query2[[#This Row],[wh]],"-",Query2[[#This Row],[Column1]])))</f>
        <v>#VALUE!</v>
      </c>
    </row>
    <row r="390" spans="1:1" x14ac:dyDescent="0.3">
      <c r="A390" t="e">
        <f>IF(Query2[[#This Row],[ranking]]=1,Query2[[#This Row],[concatenationcolumn]],IF(Query2[[#This Row],[ranking]]=D387+1,Query2[[#This Row],[concatenationcolumn]],_xlfn.CONCAT(Query2[[#This Row],[wh]],"-",Query2[[#This Row],[Column1]])))</f>
        <v>#VALUE!</v>
      </c>
    </row>
    <row r="391" spans="1:1" x14ac:dyDescent="0.3">
      <c r="A391" t="e">
        <f>IF(Query2[[#This Row],[ranking]]=1,Query2[[#This Row],[concatenationcolumn]],IF(Query2[[#This Row],[ranking]]=D388+1,Query2[[#This Row],[concatenationcolumn]],_xlfn.CONCAT(Query2[[#This Row],[wh]],"-",Query2[[#This Row],[Column1]])))</f>
        <v>#VALUE!</v>
      </c>
    </row>
    <row r="392" spans="1:1" x14ac:dyDescent="0.3">
      <c r="A392" t="e">
        <f>IF(Query2[[#This Row],[ranking]]=1,Query2[[#This Row],[concatenationcolumn]],IF(Query2[[#This Row],[ranking]]=D389+1,Query2[[#This Row],[concatenationcolumn]],_xlfn.CONCAT(Query2[[#This Row],[wh]],"-",Query2[[#This Row],[Column1]])))</f>
        <v>#VALUE!</v>
      </c>
    </row>
    <row r="393" spans="1:1" x14ac:dyDescent="0.3">
      <c r="A393" t="e">
        <f>IF(Query2[[#This Row],[ranking]]=1,Query2[[#This Row],[concatenationcolumn]],IF(Query2[[#This Row],[ranking]]=D390+1,Query2[[#This Row],[concatenationcolumn]],_xlfn.CONCAT(Query2[[#This Row],[wh]],"-",Query2[[#This Row],[Column1]])))</f>
        <v>#VALUE!</v>
      </c>
    </row>
    <row r="394" spans="1:1" x14ac:dyDescent="0.3">
      <c r="A394" t="e">
        <f>IF(Query2[[#This Row],[ranking]]=1,Query2[[#This Row],[concatenationcolumn]],IF(Query2[[#This Row],[ranking]]=D391+1,Query2[[#This Row],[concatenationcolumn]],_xlfn.CONCAT(Query2[[#This Row],[wh]],"-",Query2[[#This Row],[Column1]])))</f>
        <v>#VALUE!</v>
      </c>
    </row>
    <row r="395" spans="1:1" x14ac:dyDescent="0.3">
      <c r="A395" t="e">
        <f>IF(Query2[[#This Row],[ranking]]=1,Query2[[#This Row],[concatenationcolumn]],IF(Query2[[#This Row],[ranking]]=D392+1,Query2[[#This Row],[concatenationcolumn]],_xlfn.CONCAT(Query2[[#This Row],[wh]],"-",Query2[[#This Row],[Column1]])))</f>
        <v>#VALUE!</v>
      </c>
    </row>
    <row r="396" spans="1:1" x14ac:dyDescent="0.3">
      <c r="A396" t="e">
        <f>IF(Query2[[#This Row],[ranking]]=1,Query2[[#This Row],[concatenationcolumn]],IF(Query2[[#This Row],[ranking]]=D393+1,Query2[[#This Row],[concatenationcolumn]],_xlfn.CONCAT(Query2[[#This Row],[wh]],"-",Query2[[#This Row],[Column1]])))</f>
        <v>#VALUE!</v>
      </c>
    </row>
    <row r="397" spans="1:1" x14ac:dyDescent="0.3">
      <c r="A397" t="e">
        <f>IF(Query2[[#This Row],[ranking]]=1,Query2[[#This Row],[concatenationcolumn]],IF(Query2[[#This Row],[ranking]]=D394+1,Query2[[#This Row],[concatenationcolumn]],_xlfn.CONCAT(Query2[[#This Row],[wh]],"-",Query2[[#This Row],[Column1]])))</f>
        <v>#VALUE!</v>
      </c>
    </row>
    <row r="398" spans="1:1" x14ac:dyDescent="0.3">
      <c r="A398" t="e">
        <f>IF(Query2[[#This Row],[ranking]]=1,Query2[[#This Row],[concatenationcolumn]],IF(Query2[[#This Row],[ranking]]=D395+1,Query2[[#This Row],[concatenationcolumn]],_xlfn.CONCAT(Query2[[#This Row],[wh]],"-",Query2[[#This Row],[Column1]])))</f>
        <v>#VALUE!</v>
      </c>
    </row>
    <row r="399" spans="1:1" x14ac:dyDescent="0.3">
      <c r="A399" t="e">
        <f>IF(Query2[[#This Row],[ranking]]=1,Query2[[#This Row],[concatenationcolumn]],IF(Query2[[#This Row],[ranking]]=D396+1,Query2[[#This Row],[concatenationcolumn]],_xlfn.CONCAT(Query2[[#This Row],[wh]],"-",Query2[[#This Row],[Column1]])))</f>
        <v>#VALUE!</v>
      </c>
    </row>
    <row r="400" spans="1:1" x14ac:dyDescent="0.3">
      <c r="A400" t="e">
        <f>IF(Query2[[#This Row],[ranking]]=1,Query2[[#This Row],[concatenationcolumn]],IF(Query2[[#This Row],[ranking]]=D397+1,Query2[[#This Row],[concatenationcolumn]],_xlfn.CONCAT(Query2[[#This Row],[wh]],"-",Query2[[#This Row],[Column1]])))</f>
        <v>#VALUE!</v>
      </c>
    </row>
    <row r="401" spans="1:1" x14ac:dyDescent="0.3">
      <c r="A401" t="e">
        <f>IF(Query2[[#This Row],[ranking]]=1,Query2[[#This Row],[concatenationcolumn]],IF(Query2[[#This Row],[ranking]]=D398+1,Query2[[#This Row],[concatenationcolumn]],_xlfn.CONCAT(Query2[[#This Row],[wh]],"-",Query2[[#This Row],[Column1]])))</f>
        <v>#VALUE!</v>
      </c>
    </row>
    <row r="402" spans="1:1" x14ac:dyDescent="0.3">
      <c r="A402" t="e">
        <f>IF(Query2[[#This Row],[ranking]]=1,Query2[[#This Row],[concatenationcolumn]],IF(Query2[[#This Row],[ranking]]=D399+1,Query2[[#This Row],[concatenationcolumn]],_xlfn.CONCAT(Query2[[#This Row],[wh]],"-",Query2[[#This Row],[Column1]])))</f>
        <v>#VALUE!</v>
      </c>
    </row>
    <row r="403" spans="1:1" x14ac:dyDescent="0.3">
      <c r="A403" t="e">
        <f>IF(Query2[[#This Row],[ranking]]=1,Query2[[#This Row],[concatenationcolumn]],IF(Query2[[#This Row],[ranking]]=D400+1,Query2[[#This Row],[concatenationcolumn]],_xlfn.CONCAT(Query2[[#This Row],[wh]],"-",Query2[[#This Row],[Column1]])))</f>
        <v>#VALUE!</v>
      </c>
    </row>
    <row r="404" spans="1:1" x14ac:dyDescent="0.3">
      <c r="A404" t="e">
        <f>IF(Query2[[#This Row],[ranking]]=1,Query2[[#This Row],[concatenationcolumn]],IF(Query2[[#This Row],[ranking]]=D401+1,Query2[[#This Row],[concatenationcolumn]],_xlfn.CONCAT(Query2[[#This Row],[wh]],"-",Query2[[#This Row],[Column1]])))</f>
        <v>#VALUE!</v>
      </c>
    </row>
    <row r="405" spans="1:1" x14ac:dyDescent="0.3">
      <c r="A405" t="e">
        <f>IF(Query2[[#This Row],[ranking]]=1,Query2[[#This Row],[concatenationcolumn]],IF(Query2[[#This Row],[ranking]]=D402+1,Query2[[#This Row],[concatenationcolumn]],_xlfn.CONCAT(Query2[[#This Row],[wh]],"-",Query2[[#This Row],[Column1]])))</f>
        <v>#VALUE!</v>
      </c>
    </row>
    <row r="406" spans="1:1" x14ac:dyDescent="0.3">
      <c r="A406" t="e">
        <f>IF(Query2[[#This Row],[ranking]]=1,Query2[[#This Row],[concatenationcolumn]],IF(Query2[[#This Row],[ranking]]=D403+1,Query2[[#This Row],[concatenationcolumn]],_xlfn.CONCAT(Query2[[#This Row],[wh]],"-",Query2[[#This Row],[Column1]])))</f>
        <v>#VALUE!</v>
      </c>
    </row>
    <row r="407" spans="1:1" x14ac:dyDescent="0.3">
      <c r="A407" t="e">
        <f>IF(Query2[[#This Row],[ranking]]=1,Query2[[#This Row],[concatenationcolumn]],IF(Query2[[#This Row],[ranking]]=D404+1,Query2[[#This Row],[concatenationcolumn]],_xlfn.CONCAT(Query2[[#This Row],[wh]],"-",Query2[[#This Row],[Column1]])))</f>
        <v>#VALUE!</v>
      </c>
    </row>
    <row r="408" spans="1:1" x14ac:dyDescent="0.3">
      <c r="A408" t="e">
        <f>IF(Query2[[#This Row],[ranking]]=1,Query2[[#This Row],[concatenationcolumn]],IF(Query2[[#This Row],[ranking]]=D405+1,Query2[[#This Row],[concatenationcolumn]],_xlfn.CONCAT(Query2[[#This Row],[wh]],"-",Query2[[#This Row],[Column1]])))</f>
        <v>#VALUE!</v>
      </c>
    </row>
    <row r="409" spans="1:1" x14ac:dyDescent="0.3">
      <c r="A409" t="e">
        <f>IF(Query2[[#This Row],[ranking]]=1,Query2[[#This Row],[concatenationcolumn]],IF(Query2[[#This Row],[ranking]]=D406+1,Query2[[#This Row],[concatenationcolumn]],_xlfn.CONCAT(Query2[[#This Row],[wh]],"-",Query2[[#This Row],[Column1]])))</f>
        <v>#VALUE!</v>
      </c>
    </row>
    <row r="410" spans="1:1" x14ac:dyDescent="0.3">
      <c r="A410" t="e">
        <f>IF(Query2[[#This Row],[ranking]]=1,Query2[[#This Row],[concatenationcolumn]],IF(Query2[[#This Row],[ranking]]=D407+1,Query2[[#This Row],[concatenationcolumn]],_xlfn.CONCAT(Query2[[#This Row],[wh]],"-",Query2[[#This Row],[Column1]])))</f>
        <v>#VALUE!</v>
      </c>
    </row>
    <row r="411" spans="1:1" x14ac:dyDescent="0.3">
      <c r="A411" t="e">
        <f>IF(Query2[[#This Row],[ranking]]=1,Query2[[#This Row],[concatenationcolumn]],IF(Query2[[#This Row],[ranking]]=D408+1,Query2[[#This Row],[concatenationcolumn]],_xlfn.CONCAT(Query2[[#This Row],[wh]],"-",Query2[[#This Row],[Column1]])))</f>
        <v>#VALUE!</v>
      </c>
    </row>
    <row r="412" spans="1:1" x14ac:dyDescent="0.3">
      <c r="A412" t="e">
        <f>IF(Query2[[#This Row],[ranking]]=1,Query2[[#This Row],[concatenationcolumn]],IF(Query2[[#This Row],[ranking]]=D409+1,Query2[[#This Row],[concatenationcolumn]],_xlfn.CONCAT(Query2[[#This Row],[wh]],"-",Query2[[#This Row],[Column1]])))</f>
        <v>#VALUE!</v>
      </c>
    </row>
    <row r="413" spans="1:1" x14ac:dyDescent="0.3">
      <c r="A413" t="e">
        <f>IF(Query2[[#This Row],[ranking]]=1,Query2[[#This Row],[concatenationcolumn]],IF(Query2[[#This Row],[ranking]]=D410+1,Query2[[#This Row],[concatenationcolumn]],_xlfn.CONCAT(Query2[[#This Row],[wh]],"-",Query2[[#This Row],[Column1]])))</f>
        <v>#VALUE!</v>
      </c>
    </row>
    <row r="414" spans="1:1" x14ac:dyDescent="0.3">
      <c r="A414" t="e">
        <f>IF(Query2[[#This Row],[ranking]]=1,Query2[[#This Row],[concatenationcolumn]],IF(Query2[[#This Row],[ranking]]=D411+1,Query2[[#This Row],[concatenationcolumn]],_xlfn.CONCAT(Query2[[#This Row],[wh]],"-",Query2[[#This Row],[Column1]])))</f>
        <v>#VALUE!</v>
      </c>
    </row>
    <row r="415" spans="1:1" x14ac:dyDescent="0.3">
      <c r="A415" t="e">
        <f>IF(Query2[[#This Row],[ranking]]=1,Query2[[#This Row],[concatenationcolumn]],IF(Query2[[#This Row],[ranking]]=D412+1,Query2[[#This Row],[concatenationcolumn]],_xlfn.CONCAT(Query2[[#This Row],[wh]],"-",Query2[[#This Row],[Column1]])))</f>
        <v>#VALUE!</v>
      </c>
    </row>
    <row r="416" spans="1:1" x14ac:dyDescent="0.3">
      <c r="A416" t="e">
        <f>IF(Query2[[#This Row],[ranking]]=1,Query2[[#This Row],[concatenationcolumn]],IF(Query2[[#This Row],[ranking]]=D413+1,Query2[[#This Row],[concatenationcolumn]],_xlfn.CONCAT(Query2[[#This Row],[wh]],"-",Query2[[#This Row],[Column1]])))</f>
        <v>#VALUE!</v>
      </c>
    </row>
    <row r="417" spans="1:1" x14ac:dyDescent="0.3">
      <c r="A417" t="e">
        <f>IF(Query2[[#This Row],[ranking]]=1,Query2[[#This Row],[concatenationcolumn]],IF(Query2[[#This Row],[ranking]]=D414+1,Query2[[#This Row],[concatenationcolumn]],_xlfn.CONCAT(Query2[[#This Row],[wh]],"-",Query2[[#This Row],[Column1]])))</f>
        <v>#VALUE!</v>
      </c>
    </row>
    <row r="418" spans="1:1" x14ac:dyDescent="0.3">
      <c r="A418" t="e">
        <f>IF(Query2[[#This Row],[ranking]]=1,Query2[[#This Row],[concatenationcolumn]],IF(Query2[[#This Row],[ranking]]=D415+1,Query2[[#This Row],[concatenationcolumn]],_xlfn.CONCAT(Query2[[#This Row],[wh]],"-",Query2[[#This Row],[Column1]])))</f>
        <v>#VALUE!</v>
      </c>
    </row>
    <row r="419" spans="1:1" x14ac:dyDescent="0.3">
      <c r="A419" t="e">
        <f>IF(Query2[[#This Row],[ranking]]=1,Query2[[#This Row],[concatenationcolumn]],IF(Query2[[#This Row],[ranking]]=D416+1,Query2[[#This Row],[concatenationcolumn]],_xlfn.CONCAT(Query2[[#This Row],[wh]],"-",Query2[[#This Row],[Column1]])))</f>
        <v>#VALUE!</v>
      </c>
    </row>
    <row r="420" spans="1:1" x14ac:dyDescent="0.3">
      <c r="A420" t="e">
        <f>IF(Query2[[#This Row],[ranking]]=1,Query2[[#This Row],[concatenationcolumn]],IF(Query2[[#This Row],[ranking]]=D417+1,Query2[[#This Row],[concatenationcolumn]],_xlfn.CONCAT(Query2[[#This Row],[wh]],"-",Query2[[#This Row],[Column1]])))</f>
        <v>#VALUE!</v>
      </c>
    </row>
    <row r="421" spans="1:1" x14ac:dyDescent="0.3">
      <c r="A421" t="e">
        <f>IF(Query2[[#This Row],[ranking]]=1,Query2[[#This Row],[concatenationcolumn]],IF(Query2[[#This Row],[ranking]]=D418+1,Query2[[#This Row],[concatenationcolumn]],_xlfn.CONCAT(Query2[[#This Row],[wh]],"-",Query2[[#This Row],[Column1]])))</f>
        <v>#VALUE!</v>
      </c>
    </row>
    <row r="422" spans="1:1" x14ac:dyDescent="0.3">
      <c r="A422" t="e">
        <f>IF(Query2[[#This Row],[ranking]]=1,Query2[[#This Row],[concatenationcolumn]],IF(Query2[[#This Row],[ranking]]=D419+1,Query2[[#This Row],[concatenationcolumn]],_xlfn.CONCAT(Query2[[#This Row],[wh]],"-",Query2[[#This Row],[Column1]])))</f>
        <v>#VALUE!</v>
      </c>
    </row>
    <row r="423" spans="1:1" x14ac:dyDescent="0.3">
      <c r="A423" t="e">
        <f>IF(Query2[[#This Row],[ranking]]=1,Query2[[#This Row],[concatenationcolumn]],IF(Query2[[#This Row],[ranking]]=D420+1,Query2[[#This Row],[concatenationcolumn]],_xlfn.CONCAT(Query2[[#This Row],[wh]],"-",Query2[[#This Row],[Column1]])))</f>
        <v>#VALUE!</v>
      </c>
    </row>
    <row r="424" spans="1:1" x14ac:dyDescent="0.3">
      <c r="A424" t="e">
        <f>IF(Query2[[#This Row],[ranking]]=1,Query2[[#This Row],[concatenationcolumn]],IF(Query2[[#This Row],[ranking]]=D421+1,Query2[[#This Row],[concatenationcolumn]],_xlfn.CONCAT(Query2[[#This Row],[wh]],"-",Query2[[#This Row],[Column1]])))</f>
        <v>#VALUE!</v>
      </c>
    </row>
    <row r="425" spans="1:1" x14ac:dyDescent="0.3">
      <c r="A425" t="e">
        <f>IF(Query2[[#This Row],[ranking]]=1,Query2[[#This Row],[concatenationcolumn]],IF(Query2[[#This Row],[ranking]]=D422+1,Query2[[#This Row],[concatenationcolumn]],_xlfn.CONCAT(Query2[[#This Row],[wh]],"-",Query2[[#This Row],[Column1]])))</f>
        <v>#VALUE!</v>
      </c>
    </row>
    <row r="426" spans="1:1" x14ac:dyDescent="0.3">
      <c r="A426" t="e">
        <f>IF(Query2[[#This Row],[ranking]]=1,Query2[[#This Row],[concatenationcolumn]],IF(Query2[[#This Row],[ranking]]=D423+1,Query2[[#This Row],[concatenationcolumn]],_xlfn.CONCAT(Query2[[#This Row],[wh]],"-",Query2[[#This Row],[Column1]])))</f>
        <v>#VALUE!</v>
      </c>
    </row>
    <row r="427" spans="1:1" x14ac:dyDescent="0.3">
      <c r="A427" t="e">
        <f>IF(Query2[[#This Row],[ranking]]=1,Query2[[#This Row],[concatenationcolumn]],IF(Query2[[#This Row],[ranking]]=D424+1,Query2[[#This Row],[concatenationcolumn]],_xlfn.CONCAT(Query2[[#This Row],[wh]],"-",Query2[[#This Row],[Column1]])))</f>
        <v>#VALUE!</v>
      </c>
    </row>
    <row r="428" spans="1:1" x14ac:dyDescent="0.3">
      <c r="A428" t="e">
        <f>IF(Query2[[#This Row],[ranking]]=1,Query2[[#This Row],[concatenationcolumn]],IF(Query2[[#This Row],[ranking]]=D425+1,Query2[[#This Row],[concatenationcolumn]],_xlfn.CONCAT(Query2[[#This Row],[wh]],"-",Query2[[#This Row],[Column1]])))</f>
        <v>#VALUE!</v>
      </c>
    </row>
    <row r="429" spans="1:1" x14ac:dyDescent="0.3">
      <c r="A429" t="e">
        <f>IF(Query2[[#This Row],[ranking]]=1,Query2[[#This Row],[concatenationcolumn]],IF(Query2[[#This Row],[ranking]]=D426+1,Query2[[#This Row],[concatenationcolumn]],_xlfn.CONCAT(Query2[[#This Row],[wh]],"-",Query2[[#This Row],[Column1]])))</f>
        <v>#VALUE!</v>
      </c>
    </row>
    <row r="430" spans="1:1" x14ac:dyDescent="0.3">
      <c r="A430" t="e">
        <f>IF(Query2[[#This Row],[ranking]]=1,Query2[[#This Row],[concatenationcolumn]],IF(Query2[[#This Row],[ranking]]=D427+1,Query2[[#This Row],[concatenationcolumn]],_xlfn.CONCAT(Query2[[#This Row],[wh]],"-",Query2[[#This Row],[Column1]])))</f>
        <v>#VALUE!</v>
      </c>
    </row>
    <row r="431" spans="1:1" x14ac:dyDescent="0.3">
      <c r="A431" t="e">
        <f>IF(Query2[[#This Row],[ranking]]=1,Query2[[#This Row],[concatenationcolumn]],IF(Query2[[#This Row],[ranking]]=D428+1,Query2[[#This Row],[concatenationcolumn]],_xlfn.CONCAT(Query2[[#This Row],[wh]],"-",Query2[[#This Row],[Column1]])))</f>
        <v>#VALUE!</v>
      </c>
    </row>
    <row r="432" spans="1:1" x14ac:dyDescent="0.3">
      <c r="A432" t="e">
        <f>IF(Query2[[#This Row],[ranking]]=1,Query2[[#This Row],[concatenationcolumn]],IF(Query2[[#This Row],[ranking]]=D429+1,Query2[[#This Row],[concatenationcolumn]],_xlfn.CONCAT(Query2[[#This Row],[wh]],"-",Query2[[#This Row],[Column1]])))</f>
        <v>#VALUE!</v>
      </c>
    </row>
    <row r="433" spans="1:1" x14ac:dyDescent="0.3">
      <c r="A433" t="e">
        <f>IF(Query2[[#This Row],[ranking]]=1,Query2[[#This Row],[concatenationcolumn]],IF(Query2[[#This Row],[ranking]]=D430+1,Query2[[#This Row],[concatenationcolumn]],_xlfn.CONCAT(Query2[[#This Row],[wh]],"-",Query2[[#This Row],[Column1]])))</f>
        <v>#VALUE!</v>
      </c>
    </row>
    <row r="434" spans="1:1" x14ac:dyDescent="0.3">
      <c r="A434" t="e">
        <f>IF(Query2[[#This Row],[ranking]]=1,Query2[[#This Row],[concatenationcolumn]],IF(Query2[[#This Row],[ranking]]=D431+1,Query2[[#This Row],[concatenationcolumn]],_xlfn.CONCAT(Query2[[#This Row],[wh]],"-",Query2[[#This Row],[Column1]])))</f>
        <v>#VALUE!</v>
      </c>
    </row>
    <row r="435" spans="1:1" x14ac:dyDescent="0.3">
      <c r="A435" t="e">
        <f>IF(Query2[[#This Row],[ranking]]=1,Query2[[#This Row],[concatenationcolumn]],IF(Query2[[#This Row],[ranking]]=D432+1,Query2[[#This Row],[concatenationcolumn]],_xlfn.CONCAT(Query2[[#This Row],[wh]],"-",Query2[[#This Row],[Column1]])))</f>
        <v>#VALUE!</v>
      </c>
    </row>
    <row r="436" spans="1:1" x14ac:dyDescent="0.3">
      <c r="A436" t="e">
        <f>IF(Query2[[#This Row],[ranking]]=1,Query2[[#This Row],[concatenationcolumn]],IF(Query2[[#This Row],[ranking]]=D433+1,Query2[[#This Row],[concatenationcolumn]],_xlfn.CONCAT(Query2[[#This Row],[wh]],"-",Query2[[#This Row],[Column1]])))</f>
        <v>#VALUE!</v>
      </c>
    </row>
    <row r="437" spans="1:1" x14ac:dyDescent="0.3">
      <c r="A437" t="e">
        <f>IF(Query2[[#This Row],[ranking]]=1,Query2[[#This Row],[concatenationcolumn]],IF(Query2[[#This Row],[ranking]]=D434+1,Query2[[#This Row],[concatenationcolumn]],_xlfn.CONCAT(Query2[[#This Row],[wh]],"-",Query2[[#This Row],[Column1]])))</f>
        <v>#VALUE!</v>
      </c>
    </row>
    <row r="438" spans="1:1" x14ac:dyDescent="0.3">
      <c r="A438" t="e">
        <f>IF(Query2[[#This Row],[ranking]]=1,Query2[[#This Row],[concatenationcolumn]],IF(Query2[[#This Row],[ranking]]=D435+1,Query2[[#This Row],[concatenationcolumn]],_xlfn.CONCAT(Query2[[#This Row],[wh]],"-",Query2[[#This Row],[Column1]])))</f>
        <v>#VALUE!</v>
      </c>
    </row>
    <row r="439" spans="1:1" x14ac:dyDescent="0.3">
      <c r="A439" t="e">
        <f>IF(Query2[[#This Row],[ranking]]=1,Query2[[#This Row],[concatenationcolumn]],IF(Query2[[#This Row],[ranking]]=D436+1,Query2[[#This Row],[concatenationcolumn]],_xlfn.CONCAT(Query2[[#This Row],[wh]],"-",Query2[[#This Row],[Column1]])))</f>
        <v>#VALUE!</v>
      </c>
    </row>
    <row r="440" spans="1:1" x14ac:dyDescent="0.3">
      <c r="A440" t="e">
        <f>IF(Query2[[#This Row],[ranking]]=1,Query2[[#This Row],[concatenationcolumn]],IF(Query2[[#This Row],[ranking]]=D437+1,Query2[[#This Row],[concatenationcolumn]],_xlfn.CONCAT(Query2[[#This Row],[wh]],"-",Query2[[#This Row],[Column1]])))</f>
        <v>#VALUE!</v>
      </c>
    </row>
    <row r="441" spans="1:1" x14ac:dyDescent="0.3">
      <c r="A441" t="e">
        <f>IF(Query2[[#This Row],[ranking]]=1,Query2[[#This Row],[concatenationcolumn]],IF(Query2[[#This Row],[ranking]]=D438+1,Query2[[#This Row],[concatenationcolumn]],_xlfn.CONCAT(Query2[[#This Row],[wh]],"-",Query2[[#This Row],[Column1]])))</f>
        <v>#VALUE!</v>
      </c>
    </row>
    <row r="442" spans="1:1" x14ac:dyDescent="0.3">
      <c r="A442" t="e">
        <f>IF(Query2[[#This Row],[ranking]]=1,Query2[[#This Row],[concatenationcolumn]],IF(Query2[[#This Row],[ranking]]=D439+1,Query2[[#This Row],[concatenationcolumn]],_xlfn.CONCAT(Query2[[#This Row],[wh]],"-",Query2[[#This Row],[Column1]])))</f>
        <v>#VALUE!</v>
      </c>
    </row>
    <row r="443" spans="1:1" x14ac:dyDescent="0.3">
      <c r="A443" t="e">
        <f>IF(Query2[[#This Row],[ranking]]=1,Query2[[#This Row],[concatenationcolumn]],IF(Query2[[#This Row],[ranking]]=D440+1,Query2[[#This Row],[concatenationcolumn]],_xlfn.CONCAT(Query2[[#This Row],[wh]],"-",Query2[[#This Row],[Column1]])))</f>
        <v>#VALUE!</v>
      </c>
    </row>
    <row r="444" spans="1:1" x14ac:dyDescent="0.3">
      <c r="A444" t="e">
        <f>IF(Query2[[#This Row],[ranking]]=1,Query2[[#This Row],[concatenationcolumn]],IF(Query2[[#This Row],[ranking]]=D441+1,Query2[[#This Row],[concatenationcolumn]],_xlfn.CONCAT(Query2[[#This Row],[wh]],"-",Query2[[#This Row],[Column1]])))</f>
        <v>#VALUE!</v>
      </c>
    </row>
    <row r="445" spans="1:1" x14ac:dyDescent="0.3">
      <c r="A445" t="e">
        <f>IF(Query2[[#This Row],[ranking]]=1,Query2[[#This Row],[concatenationcolumn]],IF(Query2[[#This Row],[ranking]]=D442+1,Query2[[#This Row],[concatenationcolumn]],_xlfn.CONCAT(Query2[[#This Row],[wh]],"-",Query2[[#This Row],[Column1]])))</f>
        <v>#VALUE!</v>
      </c>
    </row>
    <row r="446" spans="1:1" x14ac:dyDescent="0.3">
      <c r="A446" t="e">
        <f>IF(Query2[[#This Row],[ranking]]=1,Query2[[#This Row],[concatenationcolumn]],IF(Query2[[#This Row],[ranking]]=D443+1,Query2[[#This Row],[concatenationcolumn]],_xlfn.CONCAT(Query2[[#This Row],[wh]],"-",Query2[[#This Row],[Column1]])))</f>
        <v>#VALUE!</v>
      </c>
    </row>
    <row r="447" spans="1:1" x14ac:dyDescent="0.3">
      <c r="A447" t="e">
        <f>IF(Query2[[#This Row],[ranking]]=1,Query2[[#This Row],[concatenationcolumn]],IF(Query2[[#This Row],[ranking]]=D444+1,Query2[[#This Row],[concatenationcolumn]],_xlfn.CONCAT(Query2[[#This Row],[wh]],"-",Query2[[#This Row],[Column1]])))</f>
        <v>#VALUE!</v>
      </c>
    </row>
    <row r="448" spans="1:1" x14ac:dyDescent="0.3">
      <c r="A448" t="e">
        <f>IF(Query2[[#This Row],[ranking]]=1,Query2[[#This Row],[concatenationcolumn]],IF(Query2[[#This Row],[ranking]]=D445+1,Query2[[#This Row],[concatenationcolumn]],_xlfn.CONCAT(Query2[[#This Row],[wh]],"-",Query2[[#This Row],[Column1]])))</f>
        <v>#VALUE!</v>
      </c>
    </row>
    <row r="449" spans="1:1" x14ac:dyDescent="0.3">
      <c r="A449" t="e">
        <f>IF(Query2[[#This Row],[ranking]]=1,Query2[[#This Row],[concatenationcolumn]],IF(Query2[[#This Row],[ranking]]=D446+1,Query2[[#This Row],[concatenationcolumn]],_xlfn.CONCAT(Query2[[#This Row],[wh]],"-",Query2[[#This Row],[Column1]])))</f>
        <v>#VALUE!</v>
      </c>
    </row>
    <row r="450" spans="1:1" x14ac:dyDescent="0.3">
      <c r="A450" t="e">
        <f>IF(Query2[[#This Row],[ranking]]=1,Query2[[#This Row],[concatenationcolumn]],IF(Query2[[#This Row],[ranking]]=D447+1,Query2[[#This Row],[concatenationcolumn]],_xlfn.CONCAT(Query2[[#This Row],[wh]],"-",Query2[[#This Row],[Column1]])))</f>
        <v>#VALUE!</v>
      </c>
    </row>
    <row r="451" spans="1:1" x14ac:dyDescent="0.3">
      <c r="A451" t="e">
        <f>IF(Query2[[#This Row],[ranking]]=1,Query2[[#This Row],[concatenationcolumn]],IF(Query2[[#This Row],[ranking]]=D448+1,Query2[[#This Row],[concatenationcolumn]],_xlfn.CONCAT(Query2[[#This Row],[wh]],"-",Query2[[#This Row],[Column1]])))</f>
        <v>#VALUE!</v>
      </c>
    </row>
    <row r="452" spans="1:1" x14ac:dyDescent="0.3">
      <c r="A452" t="e">
        <f>IF(Query2[[#This Row],[ranking]]=1,Query2[[#This Row],[concatenationcolumn]],IF(Query2[[#This Row],[ranking]]=D449+1,Query2[[#This Row],[concatenationcolumn]],_xlfn.CONCAT(Query2[[#This Row],[wh]],"-",Query2[[#This Row],[Column1]])))</f>
        <v>#VALUE!</v>
      </c>
    </row>
    <row r="453" spans="1:1" x14ac:dyDescent="0.3">
      <c r="A453" t="e">
        <f>IF(Query2[[#This Row],[ranking]]=1,Query2[[#This Row],[concatenationcolumn]],IF(Query2[[#This Row],[ranking]]=D450+1,Query2[[#This Row],[concatenationcolumn]],_xlfn.CONCAT(Query2[[#This Row],[wh]],"-",Query2[[#This Row],[Column1]])))</f>
        <v>#VALUE!</v>
      </c>
    </row>
    <row r="454" spans="1:1" x14ac:dyDescent="0.3">
      <c r="A454" t="e">
        <f>IF(Query2[[#This Row],[ranking]]=1,Query2[[#This Row],[concatenationcolumn]],IF(Query2[[#This Row],[ranking]]=D451+1,Query2[[#This Row],[concatenationcolumn]],_xlfn.CONCAT(Query2[[#This Row],[wh]],"-",Query2[[#This Row],[Column1]])))</f>
        <v>#VALUE!</v>
      </c>
    </row>
    <row r="455" spans="1:1" x14ac:dyDescent="0.3">
      <c r="A455" t="e">
        <f>IF(Query2[[#This Row],[ranking]]=1,Query2[[#This Row],[concatenationcolumn]],IF(Query2[[#This Row],[ranking]]=D452+1,Query2[[#This Row],[concatenationcolumn]],_xlfn.CONCAT(Query2[[#This Row],[wh]],"-",Query2[[#This Row],[Column1]])))</f>
        <v>#VALUE!</v>
      </c>
    </row>
    <row r="456" spans="1:1" x14ac:dyDescent="0.3">
      <c r="A456" t="e">
        <f>IF(Query2[[#This Row],[ranking]]=1,Query2[[#This Row],[concatenationcolumn]],IF(Query2[[#This Row],[ranking]]=D453+1,Query2[[#This Row],[concatenationcolumn]],_xlfn.CONCAT(Query2[[#This Row],[wh]],"-",Query2[[#This Row],[Column1]])))</f>
        <v>#VALUE!</v>
      </c>
    </row>
    <row r="457" spans="1:1" x14ac:dyDescent="0.3">
      <c r="A457" t="e">
        <f>IF(Query2[[#This Row],[ranking]]=1,Query2[[#This Row],[concatenationcolumn]],IF(Query2[[#This Row],[ranking]]=D454+1,Query2[[#This Row],[concatenationcolumn]],_xlfn.CONCAT(Query2[[#This Row],[wh]],"-",Query2[[#This Row],[Column1]])))</f>
        <v>#VALUE!</v>
      </c>
    </row>
    <row r="458" spans="1:1" x14ac:dyDescent="0.3">
      <c r="A458" t="e">
        <f>IF(Query2[[#This Row],[ranking]]=1,Query2[[#This Row],[concatenationcolumn]],IF(Query2[[#This Row],[ranking]]=D455+1,Query2[[#This Row],[concatenationcolumn]],_xlfn.CONCAT(Query2[[#This Row],[wh]],"-",Query2[[#This Row],[Column1]])))</f>
        <v>#VALUE!</v>
      </c>
    </row>
    <row r="459" spans="1:1" x14ac:dyDescent="0.3">
      <c r="A459" t="e">
        <f>IF(Query2[[#This Row],[ranking]]=1,Query2[[#This Row],[concatenationcolumn]],IF(Query2[[#This Row],[ranking]]=D456+1,Query2[[#This Row],[concatenationcolumn]],_xlfn.CONCAT(Query2[[#This Row],[wh]],"-",Query2[[#This Row],[Column1]])))</f>
        <v>#VALUE!</v>
      </c>
    </row>
    <row r="460" spans="1:1" x14ac:dyDescent="0.3">
      <c r="A460" t="e">
        <f>IF(Query2[[#This Row],[ranking]]=1,Query2[[#This Row],[concatenationcolumn]],IF(Query2[[#This Row],[ranking]]=D457+1,Query2[[#This Row],[concatenationcolumn]],_xlfn.CONCAT(Query2[[#This Row],[wh]],"-",Query2[[#This Row],[Column1]])))</f>
        <v>#VALUE!</v>
      </c>
    </row>
    <row r="461" spans="1:1" x14ac:dyDescent="0.3">
      <c r="A461" t="e">
        <f>IF(Query2[[#This Row],[ranking]]=1,Query2[[#This Row],[concatenationcolumn]],IF(Query2[[#This Row],[ranking]]=D458+1,Query2[[#This Row],[concatenationcolumn]],_xlfn.CONCAT(Query2[[#This Row],[wh]],"-",Query2[[#This Row],[Column1]])))</f>
        <v>#VALUE!</v>
      </c>
    </row>
    <row r="462" spans="1:1" x14ac:dyDescent="0.3">
      <c r="A462" t="e">
        <f>IF(Query2[[#This Row],[ranking]]=1,Query2[[#This Row],[concatenationcolumn]],IF(Query2[[#This Row],[ranking]]=D459+1,Query2[[#This Row],[concatenationcolumn]],_xlfn.CONCAT(Query2[[#This Row],[wh]],"-",Query2[[#This Row],[Column1]])))</f>
        <v>#VALUE!</v>
      </c>
    </row>
    <row r="463" spans="1:1" x14ac:dyDescent="0.3">
      <c r="A463" t="e">
        <f>IF(Query2[[#This Row],[ranking]]=1,Query2[[#This Row],[concatenationcolumn]],IF(Query2[[#This Row],[ranking]]=D460+1,Query2[[#This Row],[concatenationcolumn]],_xlfn.CONCAT(Query2[[#This Row],[wh]],"-",Query2[[#This Row],[Column1]])))</f>
        <v>#VALUE!</v>
      </c>
    </row>
    <row r="464" spans="1:1" x14ac:dyDescent="0.3">
      <c r="A464" t="e">
        <f>IF(Query2[[#This Row],[ranking]]=1,Query2[[#This Row],[concatenationcolumn]],IF(Query2[[#This Row],[ranking]]=D461+1,Query2[[#This Row],[concatenationcolumn]],_xlfn.CONCAT(Query2[[#This Row],[wh]],"-",Query2[[#This Row],[Column1]])))</f>
        <v>#VALUE!</v>
      </c>
    </row>
    <row r="465" spans="1:1" x14ac:dyDescent="0.3">
      <c r="A465" t="e">
        <f>IF(Query2[[#This Row],[ranking]]=1,Query2[[#This Row],[concatenationcolumn]],IF(Query2[[#This Row],[ranking]]=D462+1,Query2[[#This Row],[concatenationcolumn]],_xlfn.CONCAT(Query2[[#This Row],[wh]],"-",Query2[[#This Row],[Column1]])))</f>
        <v>#VALUE!</v>
      </c>
    </row>
    <row r="466" spans="1:1" x14ac:dyDescent="0.3">
      <c r="A466" t="e">
        <f>IF(Query2[[#This Row],[ranking]]=1,Query2[[#This Row],[concatenationcolumn]],IF(Query2[[#This Row],[ranking]]=D463+1,Query2[[#This Row],[concatenationcolumn]],_xlfn.CONCAT(Query2[[#This Row],[wh]],"-",Query2[[#This Row],[Column1]])))</f>
        <v>#VALUE!</v>
      </c>
    </row>
    <row r="467" spans="1:1" x14ac:dyDescent="0.3">
      <c r="A467" t="e">
        <f>IF(Query2[[#This Row],[ranking]]=1,Query2[[#This Row],[concatenationcolumn]],IF(Query2[[#This Row],[ranking]]=D464+1,Query2[[#This Row],[concatenationcolumn]],_xlfn.CONCAT(Query2[[#This Row],[wh]],"-",Query2[[#This Row],[Column1]])))</f>
        <v>#VALUE!</v>
      </c>
    </row>
    <row r="468" spans="1:1" x14ac:dyDescent="0.3">
      <c r="A468" t="e">
        <f>IF(Query2[[#This Row],[ranking]]=1,Query2[[#This Row],[concatenationcolumn]],IF(Query2[[#This Row],[ranking]]=D465+1,Query2[[#This Row],[concatenationcolumn]],_xlfn.CONCAT(Query2[[#This Row],[wh]],"-",Query2[[#This Row],[Column1]])))</f>
        <v>#VALUE!</v>
      </c>
    </row>
    <row r="469" spans="1:1" x14ac:dyDescent="0.3">
      <c r="A469" t="e">
        <f>IF(Query2[[#This Row],[ranking]]=1,Query2[[#This Row],[concatenationcolumn]],IF(Query2[[#This Row],[ranking]]=D466+1,Query2[[#This Row],[concatenationcolumn]],_xlfn.CONCAT(Query2[[#This Row],[wh]],"-",Query2[[#This Row],[Column1]])))</f>
        <v>#VALUE!</v>
      </c>
    </row>
    <row r="470" spans="1:1" x14ac:dyDescent="0.3">
      <c r="A470" t="e">
        <f>IF(Query2[[#This Row],[ranking]]=1,Query2[[#This Row],[concatenationcolumn]],IF(Query2[[#This Row],[ranking]]=D467+1,Query2[[#This Row],[concatenationcolumn]],_xlfn.CONCAT(Query2[[#This Row],[wh]],"-",Query2[[#This Row],[Column1]])))</f>
        <v>#VALUE!</v>
      </c>
    </row>
    <row r="471" spans="1:1" x14ac:dyDescent="0.3">
      <c r="A471" t="e">
        <f>IF(Query2[[#This Row],[ranking]]=1,Query2[[#This Row],[concatenationcolumn]],IF(Query2[[#This Row],[ranking]]=D468+1,Query2[[#This Row],[concatenationcolumn]],_xlfn.CONCAT(Query2[[#This Row],[wh]],"-",Query2[[#This Row],[Column1]])))</f>
        <v>#VALUE!</v>
      </c>
    </row>
    <row r="472" spans="1:1" x14ac:dyDescent="0.3">
      <c r="A472" t="e">
        <f>IF(Query2[[#This Row],[ranking]]=1,Query2[[#This Row],[concatenationcolumn]],IF(Query2[[#This Row],[ranking]]=D469+1,Query2[[#This Row],[concatenationcolumn]],_xlfn.CONCAT(Query2[[#This Row],[wh]],"-",Query2[[#This Row],[Column1]])))</f>
        <v>#VALUE!</v>
      </c>
    </row>
    <row r="473" spans="1:1" x14ac:dyDescent="0.3">
      <c r="A473" t="e">
        <f>IF(Query2[[#This Row],[ranking]]=1,Query2[[#This Row],[concatenationcolumn]],IF(Query2[[#This Row],[ranking]]=D470+1,Query2[[#This Row],[concatenationcolumn]],_xlfn.CONCAT(Query2[[#This Row],[wh]],"-",Query2[[#This Row],[Column1]])))</f>
        <v>#VALUE!</v>
      </c>
    </row>
    <row r="474" spans="1:1" x14ac:dyDescent="0.3">
      <c r="A474" t="e">
        <f>IF(Query2[[#This Row],[ranking]]=1,Query2[[#This Row],[concatenationcolumn]],IF(Query2[[#This Row],[ranking]]=D471+1,Query2[[#This Row],[concatenationcolumn]],_xlfn.CONCAT(Query2[[#This Row],[wh]],"-",Query2[[#This Row],[Column1]])))</f>
        <v>#VALUE!</v>
      </c>
    </row>
    <row r="475" spans="1:1" x14ac:dyDescent="0.3">
      <c r="A475" t="e">
        <f>IF(Query2[[#This Row],[ranking]]=1,Query2[[#This Row],[concatenationcolumn]],IF(Query2[[#This Row],[ranking]]=D472+1,Query2[[#This Row],[concatenationcolumn]],_xlfn.CONCAT(Query2[[#This Row],[wh]],"-",Query2[[#This Row],[Column1]])))</f>
        <v>#VALUE!</v>
      </c>
    </row>
    <row r="476" spans="1:1" x14ac:dyDescent="0.3">
      <c r="A476" t="e">
        <f>IF(Query2[[#This Row],[ranking]]=1,Query2[[#This Row],[concatenationcolumn]],IF(Query2[[#This Row],[ranking]]=D473+1,Query2[[#This Row],[concatenationcolumn]],_xlfn.CONCAT(Query2[[#This Row],[wh]],"-",Query2[[#This Row],[Column1]])))</f>
        <v>#VALUE!</v>
      </c>
    </row>
    <row r="477" spans="1:1" x14ac:dyDescent="0.3">
      <c r="A477" t="e">
        <f>IF(Query2[[#This Row],[ranking]]=1,Query2[[#This Row],[concatenationcolumn]],IF(Query2[[#This Row],[ranking]]=D474+1,Query2[[#This Row],[concatenationcolumn]],_xlfn.CONCAT(Query2[[#This Row],[wh]],"-",Query2[[#This Row],[Column1]])))</f>
        <v>#VALUE!</v>
      </c>
    </row>
    <row r="478" spans="1:1" x14ac:dyDescent="0.3">
      <c r="A478" t="e">
        <f>IF(Query2[[#This Row],[ranking]]=1,Query2[[#This Row],[concatenationcolumn]],IF(Query2[[#This Row],[ranking]]=D475+1,Query2[[#This Row],[concatenationcolumn]],_xlfn.CONCAT(Query2[[#This Row],[wh]],"-",Query2[[#This Row],[Column1]])))</f>
        <v>#VALUE!</v>
      </c>
    </row>
    <row r="479" spans="1:1" x14ac:dyDescent="0.3">
      <c r="A479" t="e">
        <f>IF(Query2[[#This Row],[ranking]]=1,Query2[[#This Row],[concatenationcolumn]],IF(Query2[[#This Row],[ranking]]=D476+1,Query2[[#This Row],[concatenationcolumn]],_xlfn.CONCAT(Query2[[#This Row],[wh]],"-",Query2[[#This Row],[Column1]])))</f>
        <v>#VALUE!</v>
      </c>
    </row>
    <row r="480" spans="1:1" x14ac:dyDescent="0.3">
      <c r="A480" t="e">
        <f>IF(Query2[[#This Row],[ranking]]=1,Query2[[#This Row],[concatenationcolumn]],IF(Query2[[#This Row],[ranking]]=D477+1,Query2[[#This Row],[concatenationcolumn]],_xlfn.CONCAT(Query2[[#This Row],[wh]],"-",Query2[[#This Row],[Column1]])))</f>
        <v>#VALUE!</v>
      </c>
    </row>
    <row r="481" spans="1:1" x14ac:dyDescent="0.3">
      <c r="A481" t="e">
        <f>IF(Query2[[#This Row],[ranking]]=1,Query2[[#This Row],[concatenationcolumn]],IF(Query2[[#This Row],[ranking]]=D478+1,Query2[[#This Row],[concatenationcolumn]],_xlfn.CONCAT(Query2[[#This Row],[wh]],"-",Query2[[#This Row],[Column1]])))</f>
        <v>#VALUE!</v>
      </c>
    </row>
    <row r="482" spans="1:1" x14ac:dyDescent="0.3">
      <c r="A482" t="e">
        <f>IF(Query2[[#This Row],[ranking]]=1,Query2[[#This Row],[concatenationcolumn]],IF(Query2[[#This Row],[ranking]]=D479+1,Query2[[#This Row],[concatenationcolumn]],_xlfn.CONCAT(Query2[[#This Row],[wh]],"-",Query2[[#This Row],[Column1]])))</f>
        <v>#VALUE!</v>
      </c>
    </row>
    <row r="483" spans="1:1" x14ac:dyDescent="0.3">
      <c r="A483" t="e">
        <f>IF(Query2[[#This Row],[ranking]]=1,Query2[[#This Row],[concatenationcolumn]],IF(Query2[[#This Row],[ranking]]=D480+1,Query2[[#This Row],[concatenationcolumn]],_xlfn.CONCAT(Query2[[#This Row],[wh]],"-",Query2[[#This Row],[Column1]])))</f>
        <v>#VALUE!</v>
      </c>
    </row>
    <row r="484" spans="1:1" x14ac:dyDescent="0.3">
      <c r="A484" t="e">
        <f>IF(Query2[[#This Row],[ranking]]=1,Query2[[#This Row],[concatenationcolumn]],IF(Query2[[#This Row],[ranking]]=D481+1,Query2[[#This Row],[concatenationcolumn]],_xlfn.CONCAT(Query2[[#This Row],[wh]],"-",Query2[[#This Row],[Column1]])))</f>
        <v>#VALUE!</v>
      </c>
    </row>
    <row r="485" spans="1:1" x14ac:dyDescent="0.3">
      <c r="A485" t="e">
        <f>IF(Query2[[#This Row],[ranking]]=1,Query2[[#This Row],[concatenationcolumn]],IF(Query2[[#This Row],[ranking]]=D482+1,Query2[[#This Row],[concatenationcolumn]],_xlfn.CONCAT(Query2[[#This Row],[wh]],"-",Query2[[#This Row],[Column1]])))</f>
        <v>#VALUE!</v>
      </c>
    </row>
    <row r="486" spans="1:1" x14ac:dyDescent="0.3">
      <c r="A486" t="e">
        <f>IF(Query2[[#This Row],[ranking]]=1,Query2[[#This Row],[concatenationcolumn]],IF(Query2[[#This Row],[ranking]]=D483+1,Query2[[#This Row],[concatenationcolumn]],_xlfn.CONCAT(Query2[[#This Row],[wh]],"-",Query2[[#This Row],[Column1]])))</f>
        <v>#VALUE!</v>
      </c>
    </row>
    <row r="487" spans="1:1" x14ac:dyDescent="0.3">
      <c r="A487" t="e">
        <f>IF(Query2[[#This Row],[ranking]]=1,Query2[[#This Row],[concatenationcolumn]],IF(Query2[[#This Row],[ranking]]=D484+1,Query2[[#This Row],[concatenationcolumn]],_xlfn.CONCAT(Query2[[#This Row],[wh]],"-",Query2[[#This Row],[Column1]])))</f>
        <v>#VALUE!</v>
      </c>
    </row>
    <row r="488" spans="1:1" x14ac:dyDescent="0.3">
      <c r="A488" t="e">
        <f>IF(Query2[[#This Row],[ranking]]=1,Query2[[#This Row],[concatenationcolumn]],IF(Query2[[#This Row],[ranking]]=D485+1,Query2[[#This Row],[concatenationcolumn]],_xlfn.CONCAT(Query2[[#This Row],[wh]],"-",Query2[[#This Row],[Column1]])))</f>
        <v>#VALUE!</v>
      </c>
    </row>
    <row r="489" spans="1:1" x14ac:dyDescent="0.3">
      <c r="A489" t="e">
        <f>IF(Query2[[#This Row],[ranking]]=1,Query2[[#This Row],[concatenationcolumn]],IF(Query2[[#This Row],[ranking]]=D486+1,Query2[[#This Row],[concatenationcolumn]],_xlfn.CONCAT(Query2[[#This Row],[wh]],"-",Query2[[#This Row],[Column1]])))</f>
        <v>#VALUE!</v>
      </c>
    </row>
    <row r="490" spans="1:1" x14ac:dyDescent="0.3">
      <c r="A490" t="e">
        <f>IF(Query2[[#This Row],[ranking]]=1,Query2[[#This Row],[concatenationcolumn]],IF(Query2[[#This Row],[ranking]]=D487+1,Query2[[#This Row],[concatenationcolumn]],_xlfn.CONCAT(Query2[[#This Row],[wh]],"-",Query2[[#This Row],[Column1]])))</f>
        <v>#VALUE!</v>
      </c>
    </row>
    <row r="491" spans="1:1" x14ac:dyDescent="0.3">
      <c r="A491" t="e">
        <f>IF(Query2[[#This Row],[ranking]]=1,Query2[[#This Row],[concatenationcolumn]],IF(Query2[[#This Row],[ranking]]=D488+1,Query2[[#This Row],[concatenationcolumn]],_xlfn.CONCAT(Query2[[#This Row],[wh]],"-",Query2[[#This Row],[Column1]])))</f>
        <v>#VALUE!</v>
      </c>
    </row>
    <row r="492" spans="1:1" x14ac:dyDescent="0.3">
      <c r="A492" t="e">
        <f>IF(Query2[[#This Row],[ranking]]=1,Query2[[#This Row],[concatenationcolumn]],IF(Query2[[#This Row],[ranking]]=D489+1,Query2[[#This Row],[concatenationcolumn]],_xlfn.CONCAT(Query2[[#This Row],[wh]],"-",Query2[[#This Row],[Column1]])))</f>
        <v>#VALUE!</v>
      </c>
    </row>
    <row r="493" spans="1:1" x14ac:dyDescent="0.3">
      <c r="A493" t="e">
        <f>IF(Query2[[#This Row],[ranking]]=1,Query2[[#This Row],[concatenationcolumn]],IF(Query2[[#This Row],[ranking]]=D490+1,Query2[[#This Row],[concatenationcolumn]],_xlfn.CONCAT(Query2[[#This Row],[wh]],"-",Query2[[#This Row],[Column1]])))</f>
        <v>#VALUE!</v>
      </c>
    </row>
    <row r="494" spans="1:1" x14ac:dyDescent="0.3">
      <c r="A494" t="e">
        <f>IF(Query2[[#This Row],[ranking]]=1,Query2[[#This Row],[concatenationcolumn]],IF(Query2[[#This Row],[ranking]]=D491+1,Query2[[#This Row],[concatenationcolumn]],_xlfn.CONCAT(Query2[[#This Row],[wh]],"-",Query2[[#This Row],[Column1]])))</f>
        <v>#VALUE!</v>
      </c>
    </row>
    <row r="495" spans="1:1" x14ac:dyDescent="0.3">
      <c r="A495" t="e">
        <f>IF(Query2[[#This Row],[ranking]]=1,Query2[[#This Row],[concatenationcolumn]],IF(Query2[[#This Row],[ranking]]=D492+1,Query2[[#This Row],[concatenationcolumn]],_xlfn.CONCAT(Query2[[#This Row],[wh]],"-",Query2[[#This Row],[Column1]])))</f>
        <v>#VALUE!</v>
      </c>
    </row>
    <row r="496" spans="1:1" x14ac:dyDescent="0.3">
      <c r="A496" t="e">
        <f>IF(Query2[[#This Row],[ranking]]=1,Query2[[#This Row],[concatenationcolumn]],IF(Query2[[#This Row],[ranking]]=D493+1,Query2[[#This Row],[concatenationcolumn]],_xlfn.CONCAT(Query2[[#This Row],[wh]],"-",Query2[[#This Row],[Column1]])))</f>
        <v>#VALUE!</v>
      </c>
    </row>
    <row r="497" spans="1:1" x14ac:dyDescent="0.3">
      <c r="A497" t="e">
        <f>IF(Query2[[#This Row],[ranking]]=1,Query2[[#This Row],[concatenationcolumn]],IF(Query2[[#This Row],[ranking]]=D494+1,Query2[[#This Row],[concatenationcolumn]],_xlfn.CONCAT(Query2[[#This Row],[wh]],"-",Query2[[#This Row],[Column1]])))</f>
        <v>#VALUE!</v>
      </c>
    </row>
    <row r="498" spans="1:1" x14ac:dyDescent="0.3">
      <c r="A498" t="e">
        <f>IF(Query2[[#This Row],[ranking]]=1,Query2[[#This Row],[concatenationcolumn]],IF(Query2[[#This Row],[ranking]]=D495+1,Query2[[#This Row],[concatenationcolumn]],_xlfn.CONCAT(Query2[[#This Row],[wh]],"-",Query2[[#This Row],[Column1]])))</f>
        <v>#VALUE!</v>
      </c>
    </row>
    <row r="499" spans="1:1" x14ac:dyDescent="0.3">
      <c r="A499" t="e">
        <f>IF(Query2[[#This Row],[ranking]]=1,Query2[[#This Row],[concatenationcolumn]],IF(Query2[[#This Row],[ranking]]=D496+1,Query2[[#This Row],[concatenationcolumn]],_xlfn.CONCAT(Query2[[#This Row],[wh]],"-",Query2[[#This Row],[Column1]])))</f>
        <v>#VALUE!</v>
      </c>
    </row>
    <row r="500" spans="1:1" x14ac:dyDescent="0.3">
      <c r="A500" t="e">
        <f>IF(Query2[[#This Row],[ranking]]=1,Query2[[#This Row],[concatenationcolumn]],IF(Query2[[#This Row],[ranking]]=D497+1,Query2[[#This Row],[concatenationcolumn]],_xlfn.CONCAT(Query2[[#This Row],[wh]],"-",Query2[[#This Row],[Column1]])))</f>
        <v>#VALUE!</v>
      </c>
    </row>
    <row r="501" spans="1:1" x14ac:dyDescent="0.3">
      <c r="A501" t="e">
        <f>IF(Query2[[#This Row],[ranking]]=1,Query2[[#This Row],[concatenationcolumn]],IF(Query2[[#This Row],[ranking]]=D498+1,Query2[[#This Row],[concatenationcolumn]],_xlfn.CONCAT(Query2[[#This Row],[wh]],"-",Query2[[#This Row],[Column1]])))</f>
        <v>#VALUE!</v>
      </c>
    </row>
    <row r="502" spans="1:1" x14ac:dyDescent="0.3">
      <c r="A502" t="e">
        <f>IF(Query2[[#This Row],[ranking]]=1,Query2[[#This Row],[concatenationcolumn]],IF(Query2[[#This Row],[ranking]]=D499+1,Query2[[#This Row],[concatenationcolumn]],_xlfn.CONCAT(Query2[[#This Row],[wh]],"-",Query2[[#This Row],[Column1]])))</f>
        <v>#VALUE!</v>
      </c>
    </row>
    <row r="503" spans="1:1" x14ac:dyDescent="0.3">
      <c r="A503" t="e">
        <f>IF(Query2[[#This Row],[ranking]]=1,Query2[[#This Row],[concatenationcolumn]],IF(Query2[[#This Row],[ranking]]=D500+1,Query2[[#This Row],[concatenationcolumn]],_xlfn.CONCAT(Query2[[#This Row],[wh]],"-",Query2[[#This Row],[Column1]])))</f>
        <v>#VALUE!</v>
      </c>
    </row>
    <row r="504" spans="1:1" x14ac:dyDescent="0.3">
      <c r="A504" t="e">
        <f>IF(Query2[[#This Row],[ranking]]=1,Query2[[#This Row],[concatenationcolumn]],IF(Query2[[#This Row],[ranking]]=D501+1,Query2[[#This Row],[concatenationcolumn]],_xlfn.CONCAT(Query2[[#This Row],[wh]],"-",Query2[[#This Row],[Column1]])))</f>
        <v>#VALUE!</v>
      </c>
    </row>
    <row r="505" spans="1:1" x14ac:dyDescent="0.3">
      <c r="A505" t="e">
        <f>IF(Query2[[#This Row],[ranking]]=1,Query2[[#This Row],[concatenationcolumn]],IF(Query2[[#This Row],[ranking]]=D502+1,Query2[[#This Row],[concatenationcolumn]],_xlfn.CONCAT(Query2[[#This Row],[wh]],"-",Query2[[#This Row],[Column1]])))</f>
        <v>#VALUE!</v>
      </c>
    </row>
    <row r="506" spans="1:1" x14ac:dyDescent="0.3">
      <c r="A506" t="e">
        <f>IF(Query2[[#This Row],[ranking]]=1,Query2[[#This Row],[concatenationcolumn]],IF(Query2[[#This Row],[ranking]]=D503+1,Query2[[#This Row],[concatenationcolumn]],_xlfn.CONCAT(Query2[[#This Row],[wh]],"-",Query2[[#This Row],[Column1]])))</f>
        <v>#VALUE!</v>
      </c>
    </row>
    <row r="507" spans="1:1" x14ac:dyDescent="0.3">
      <c r="A507" t="e">
        <f>IF(Query2[[#This Row],[ranking]]=1,Query2[[#This Row],[concatenationcolumn]],IF(Query2[[#This Row],[ranking]]=D504+1,Query2[[#This Row],[concatenationcolumn]],_xlfn.CONCAT(Query2[[#This Row],[wh]],"-",Query2[[#This Row],[Column1]])))</f>
        <v>#VALUE!</v>
      </c>
    </row>
    <row r="508" spans="1:1" x14ac:dyDescent="0.3">
      <c r="A508" t="e">
        <f>IF(Query2[[#This Row],[ranking]]=1,Query2[[#This Row],[concatenationcolumn]],IF(Query2[[#This Row],[ranking]]=D505+1,Query2[[#This Row],[concatenationcolumn]],_xlfn.CONCAT(Query2[[#This Row],[wh]],"-",Query2[[#This Row],[Column1]])))</f>
        <v>#VALUE!</v>
      </c>
    </row>
    <row r="509" spans="1:1" x14ac:dyDescent="0.3">
      <c r="A509" t="e">
        <f>IF(Query2[[#This Row],[ranking]]=1,Query2[[#This Row],[concatenationcolumn]],IF(Query2[[#This Row],[ranking]]=D506+1,Query2[[#This Row],[concatenationcolumn]],_xlfn.CONCAT(Query2[[#This Row],[wh]],"-",Query2[[#This Row],[Column1]])))</f>
        <v>#VALUE!</v>
      </c>
    </row>
    <row r="510" spans="1:1" x14ac:dyDescent="0.3">
      <c r="A510" t="e">
        <f>IF(Query2[[#This Row],[ranking]]=1,Query2[[#This Row],[concatenationcolumn]],IF(Query2[[#This Row],[ranking]]=D507+1,Query2[[#This Row],[concatenationcolumn]],_xlfn.CONCAT(Query2[[#This Row],[wh]],"-",Query2[[#This Row],[Column1]])))</f>
        <v>#VALUE!</v>
      </c>
    </row>
    <row r="511" spans="1:1" x14ac:dyDescent="0.3">
      <c r="A511" t="e">
        <f>IF(Query2[[#This Row],[ranking]]=1,Query2[[#This Row],[concatenationcolumn]],IF(Query2[[#This Row],[ranking]]=D508+1,Query2[[#This Row],[concatenationcolumn]],_xlfn.CONCAT(Query2[[#This Row],[wh]],"-",Query2[[#This Row],[Column1]])))</f>
        <v>#VALUE!</v>
      </c>
    </row>
    <row r="512" spans="1:1" x14ac:dyDescent="0.3">
      <c r="A512" t="e">
        <f>IF(Query2[[#This Row],[ranking]]=1,Query2[[#This Row],[concatenationcolumn]],IF(Query2[[#This Row],[ranking]]=D509+1,Query2[[#This Row],[concatenationcolumn]],_xlfn.CONCAT(Query2[[#This Row],[wh]],"-",Query2[[#This Row],[Column1]])))</f>
        <v>#VALUE!</v>
      </c>
    </row>
    <row r="513" spans="1:1" x14ac:dyDescent="0.3">
      <c r="A513" t="e">
        <f>IF(Query2[[#This Row],[ranking]]=1,Query2[[#This Row],[concatenationcolumn]],IF(Query2[[#This Row],[ranking]]=D510+1,Query2[[#This Row],[concatenationcolumn]],_xlfn.CONCAT(Query2[[#This Row],[wh]],"-",Query2[[#This Row],[Column1]])))</f>
        <v>#VALUE!</v>
      </c>
    </row>
    <row r="514" spans="1:1" x14ac:dyDescent="0.3">
      <c r="A514" t="e">
        <f>IF(Query2[[#This Row],[ranking]]=1,Query2[[#This Row],[concatenationcolumn]],IF(Query2[[#This Row],[ranking]]=D511+1,Query2[[#This Row],[concatenationcolumn]],_xlfn.CONCAT(Query2[[#This Row],[wh]],"-",Query2[[#This Row],[Column1]])))</f>
        <v>#VALUE!</v>
      </c>
    </row>
    <row r="515" spans="1:1" x14ac:dyDescent="0.3">
      <c r="A515" t="e">
        <f>IF(Query2[[#This Row],[ranking]]=1,Query2[[#This Row],[concatenationcolumn]],IF(Query2[[#This Row],[ranking]]=D512+1,Query2[[#This Row],[concatenationcolumn]],_xlfn.CONCAT(Query2[[#This Row],[wh]],"-",Query2[[#This Row],[Column1]])))</f>
        <v>#VALUE!</v>
      </c>
    </row>
    <row r="516" spans="1:1" x14ac:dyDescent="0.3">
      <c r="A516" t="e">
        <f>IF(Query2[[#This Row],[ranking]]=1,Query2[[#This Row],[concatenationcolumn]],IF(Query2[[#This Row],[ranking]]=D513+1,Query2[[#This Row],[concatenationcolumn]],_xlfn.CONCAT(Query2[[#This Row],[wh]],"-",Query2[[#This Row],[Column1]])))</f>
        <v>#VALUE!</v>
      </c>
    </row>
    <row r="517" spans="1:1" x14ac:dyDescent="0.3">
      <c r="A517" t="e">
        <f>IF(Query2[[#This Row],[ranking]]=1,Query2[[#This Row],[concatenationcolumn]],IF(Query2[[#This Row],[ranking]]=D514+1,Query2[[#This Row],[concatenationcolumn]],_xlfn.CONCAT(Query2[[#This Row],[wh]],"-",Query2[[#This Row],[Column1]])))</f>
        <v>#VALUE!</v>
      </c>
    </row>
    <row r="518" spans="1:1" x14ac:dyDescent="0.3">
      <c r="A518" t="e">
        <f>IF(Query2[[#This Row],[ranking]]=1,Query2[[#This Row],[concatenationcolumn]],IF(Query2[[#This Row],[ranking]]=D515+1,Query2[[#This Row],[concatenationcolumn]],_xlfn.CONCAT(Query2[[#This Row],[wh]],"-",Query2[[#This Row],[Column1]])))</f>
        <v>#VALUE!</v>
      </c>
    </row>
    <row r="519" spans="1:1" x14ac:dyDescent="0.3">
      <c r="A519" t="e">
        <f>IF(Query2[[#This Row],[ranking]]=1,Query2[[#This Row],[concatenationcolumn]],IF(Query2[[#This Row],[ranking]]=D516+1,Query2[[#This Row],[concatenationcolumn]],_xlfn.CONCAT(Query2[[#This Row],[wh]],"-",Query2[[#This Row],[Column1]])))</f>
        <v>#VALUE!</v>
      </c>
    </row>
    <row r="520" spans="1:1" x14ac:dyDescent="0.3">
      <c r="A520" t="e">
        <f>IF(Query2[[#This Row],[ranking]]=1,Query2[[#This Row],[concatenationcolumn]],IF(Query2[[#This Row],[ranking]]=D517+1,Query2[[#This Row],[concatenationcolumn]],_xlfn.CONCAT(Query2[[#This Row],[wh]],"-",Query2[[#This Row],[Column1]])))</f>
        <v>#VALUE!</v>
      </c>
    </row>
    <row r="521" spans="1:1" x14ac:dyDescent="0.3">
      <c r="A521" t="e">
        <f>IF(Query2[[#This Row],[ranking]]=1,Query2[[#This Row],[concatenationcolumn]],IF(Query2[[#This Row],[ranking]]=D518+1,Query2[[#This Row],[concatenationcolumn]],_xlfn.CONCAT(Query2[[#This Row],[wh]],"-",Query2[[#This Row],[Column1]])))</f>
        <v>#VALUE!</v>
      </c>
    </row>
    <row r="522" spans="1:1" x14ac:dyDescent="0.3">
      <c r="A522" t="e">
        <f>IF(Query2[[#This Row],[ranking]]=1,Query2[[#This Row],[concatenationcolumn]],IF(Query2[[#This Row],[ranking]]=D519+1,Query2[[#This Row],[concatenationcolumn]],_xlfn.CONCAT(Query2[[#This Row],[wh]],"-",Query2[[#This Row],[Column1]])))</f>
        <v>#VALUE!</v>
      </c>
    </row>
    <row r="523" spans="1:1" x14ac:dyDescent="0.3">
      <c r="A523" t="e">
        <f>IF(Query2[[#This Row],[ranking]]=1,Query2[[#This Row],[concatenationcolumn]],IF(Query2[[#This Row],[ranking]]=D520+1,Query2[[#This Row],[concatenationcolumn]],_xlfn.CONCAT(Query2[[#This Row],[wh]],"-",Query2[[#This Row],[Column1]])))</f>
        <v>#VALUE!</v>
      </c>
    </row>
    <row r="524" spans="1:1" x14ac:dyDescent="0.3">
      <c r="A524" t="e">
        <f>IF(Query2[[#This Row],[ranking]]=1,Query2[[#This Row],[concatenationcolumn]],IF(Query2[[#This Row],[ranking]]=D521+1,Query2[[#This Row],[concatenationcolumn]],_xlfn.CONCAT(Query2[[#This Row],[wh]],"-",Query2[[#This Row],[Column1]])))</f>
        <v>#VALUE!</v>
      </c>
    </row>
    <row r="525" spans="1:1" x14ac:dyDescent="0.3">
      <c r="A525" t="e">
        <f>IF(Query2[[#This Row],[ranking]]=1,Query2[[#This Row],[concatenationcolumn]],IF(Query2[[#This Row],[ranking]]=D522+1,Query2[[#This Row],[concatenationcolumn]],_xlfn.CONCAT(Query2[[#This Row],[wh]],"-",Query2[[#This Row],[Column1]])))</f>
        <v>#VALUE!</v>
      </c>
    </row>
    <row r="526" spans="1:1" x14ac:dyDescent="0.3">
      <c r="A526" t="e">
        <f>IF(Query2[[#This Row],[ranking]]=1,Query2[[#This Row],[concatenationcolumn]],IF(Query2[[#This Row],[ranking]]=D523+1,Query2[[#This Row],[concatenationcolumn]],_xlfn.CONCAT(Query2[[#This Row],[wh]],"-",Query2[[#This Row],[Column1]])))</f>
        <v>#VALUE!</v>
      </c>
    </row>
    <row r="527" spans="1:1" x14ac:dyDescent="0.3">
      <c r="A527" t="e">
        <f>IF(Query2[[#This Row],[ranking]]=1,Query2[[#This Row],[concatenationcolumn]],IF(Query2[[#This Row],[ranking]]=D524+1,Query2[[#This Row],[concatenationcolumn]],_xlfn.CONCAT(Query2[[#This Row],[wh]],"-",Query2[[#This Row],[Column1]])))</f>
        <v>#VALUE!</v>
      </c>
    </row>
    <row r="528" spans="1:1" x14ac:dyDescent="0.3">
      <c r="A528" t="e">
        <f>IF(Query2[[#This Row],[ranking]]=1,Query2[[#This Row],[concatenationcolumn]],IF(Query2[[#This Row],[ranking]]=D525+1,Query2[[#This Row],[concatenationcolumn]],_xlfn.CONCAT(Query2[[#This Row],[wh]],"-",Query2[[#This Row],[Column1]])))</f>
        <v>#VALUE!</v>
      </c>
    </row>
    <row r="529" spans="1:1" x14ac:dyDescent="0.3">
      <c r="A529" t="e">
        <f>IF(Query2[[#This Row],[ranking]]=1,Query2[[#This Row],[concatenationcolumn]],IF(Query2[[#This Row],[ranking]]=D526+1,Query2[[#This Row],[concatenationcolumn]],_xlfn.CONCAT(Query2[[#This Row],[wh]],"-",Query2[[#This Row],[Column1]])))</f>
        <v>#VALUE!</v>
      </c>
    </row>
    <row r="530" spans="1:1" x14ac:dyDescent="0.3">
      <c r="A530" t="e">
        <f>IF(Query2[[#This Row],[ranking]]=1,Query2[[#This Row],[concatenationcolumn]],IF(Query2[[#This Row],[ranking]]=D527+1,Query2[[#This Row],[concatenationcolumn]],_xlfn.CONCAT(Query2[[#This Row],[wh]],"-",Query2[[#This Row],[Column1]])))</f>
        <v>#VALUE!</v>
      </c>
    </row>
    <row r="531" spans="1:1" x14ac:dyDescent="0.3">
      <c r="A531" t="e">
        <f>IF(Query2[[#This Row],[ranking]]=1,Query2[[#This Row],[concatenationcolumn]],IF(Query2[[#This Row],[ranking]]=D528+1,Query2[[#This Row],[concatenationcolumn]],_xlfn.CONCAT(Query2[[#This Row],[wh]],"-",Query2[[#This Row],[Column1]])))</f>
        <v>#VALUE!</v>
      </c>
    </row>
    <row r="532" spans="1:1" x14ac:dyDescent="0.3">
      <c r="A532" t="e">
        <f>IF(Query2[[#This Row],[ranking]]=1,Query2[[#This Row],[concatenationcolumn]],IF(Query2[[#This Row],[ranking]]=D529+1,Query2[[#This Row],[concatenationcolumn]],_xlfn.CONCAT(Query2[[#This Row],[wh]],"-",Query2[[#This Row],[Column1]])))</f>
        <v>#VALUE!</v>
      </c>
    </row>
    <row r="533" spans="1:1" x14ac:dyDescent="0.3">
      <c r="A533" t="e">
        <f>IF(Query2[[#This Row],[ranking]]=1,Query2[[#This Row],[concatenationcolumn]],IF(Query2[[#This Row],[ranking]]=D530+1,Query2[[#This Row],[concatenationcolumn]],_xlfn.CONCAT(Query2[[#This Row],[wh]],"-",Query2[[#This Row],[Column1]])))</f>
        <v>#VALUE!</v>
      </c>
    </row>
    <row r="534" spans="1:1" x14ac:dyDescent="0.3">
      <c r="A534" t="e">
        <f>IF(Query2[[#This Row],[ranking]]=1,Query2[[#This Row],[concatenationcolumn]],IF(Query2[[#This Row],[ranking]]=D531+1,Query2[[#This Row],[concatenationcolumn]],_xlfn.CONCAT(Query2[[#This Row],[wh]],"-",Query2[[#This Row],[Column1]])))</f>
        <v>#VALUE!</v>
      </c>
    </row>
    <row r="535" spans="1:1" x14ac:dyDescent="0.3">
      <c r="A535" t="e">
        <f>IF(Query2[[#This Row],[ranking]]=1,Query2[[#This Row],[concatenationcolumn]],IF(Query2[[#This Row],[ranking]]=D532+1,Query2[[#This Row],[concatenationcolumn]],_xlfn.CONCAT(Query2[[#This Row],[wh]],"-",Query2[[#This Row],[Column1]])))</f>
        <v>#VALUE!</v>
      </c>
    </row>
    <row r="536" spans="1:1" x14ac:dyDescent="0.3">
      <c r="A536" t="e">
        <f>IF(Query2[[#This Row],[ranking]]=1,Query2[[#This Row],[concatenationcolumn]],IF(Query2[[#This Row],[ranking]]=D533+1,Query2[[#This Row],[concatenationcolumn]],_xlfn.CONCAT(Query2[[#This Row],[wh]],"-",Query2[[#This Row],[Column1]])))</f>
        <v>#VALUE!</v>
      </c>
    </row>
    <row r="537" spans="1:1" x14ac:dyDescent="0.3">
      <c r="A537" t="e">
        <f>IF(Query2[[#This Row],[ranking]]=1,Query2[[#This Row],[concatenationcolumn]],IF(Query2[[#This Row],[ranking]]=D534+1,Query2[[#This Row],[concatenationcolumn]],_xlfn.CONCAT(Query2[[#This Row],[wh]],"-",Query2[[#This Row],[Column1]])))</f>
        <v>#VALUE!</v>
      </c>
    </row>
    <row r="538" spans="1:1" x14ac:dyDescent="0.3">
      <c r="A538" t="e">
        <f>IF(Query2[[#This Row],[ranking]]=1,Query2[[#This Row],[concatenationcolumn]],IF(Query2[[#This Row],[ranking]]=D535+1,Query2[[#This Row],[concatenationcolumn]],_xlfn.CONCAT(Query2[[#This Row],[wh]],"-",Query2[[#This Row],[Column1]])))</f>
        <v>#VALUE!</v>
      </c>
    </row>
    <row r="539" spans="1:1" x14ac:dyDescent="0.3">
      <c r="A539" t="e">
        <f>IF(Query2[[#This Row],[ranking]]=1,Query2[[#This Row],[concatenationcolumn]],IF(Query2[[#This Row],[ranking]]=D536+1,Query2[[#This Row],[concatenationcolumn]],_xlfn.CONCAT(Query2[[#This Row],[wh]],"-",Query2[[#This Row],[Column1]])))</f>
        <v>#VALUE!</v>
      </c>
    </row>
    <row r="540" spans="1:1" x14ac:dyDescent="0.3">
      <c r="A540" t="e">
        <f>IF(Query2[[#This Row],[ranking]]=1,Query2[[#This Row],[concatenationcolumn]],IF(Query2[[#This Row],[ranking]]=D537+1,Query2[[#This Row],[concatenationcolumn]],_xlfn.CONCAT(Query2[[#This Row],[wh]],"-",Query2[[#This Row],[Column1]])))</f>
        <v>#VALUE!</v>
      </c>
    </row>
    <row r="541" spans="1:1" x14ac:dyDescent="0.3">
      <c r="A541" t="e">
        <f>IF(Query2[[#This Row],[ranking]]=1,Query2[[#This Row],[concatenationcolumn]],IF(Query2[[#This Row],[ranking]]=D538+1,Query2[[#This Row],[concatenationcolumn]],_xlfn.CONCAT(Query2[[#This Row],[wh]],"-",Query2[[#This Row],[Column1]])))</f>
        <v>#VALUE!</v>
      </c>
    </row>
    <row r="542" spans="1:1" x14ac:dyDescent="0.3">
      <c r="A542" t="e">
        <f>IF(Query2[[#This Row],[ranking]]=1,Query2[[#This Row],[concatenationcolumn]],IF(Query2[[#This Row],[ranking]]=D539+1,Query2[[#This Row],[concatenationcolumn]],_xlfn.CONCAT(Query2[[#This Row],[wh]],"-",Query2[[#This Row],[Column1]])))</f>
        <v>#VALUE!</v>
      </c>
    </row>
    <row r="543" spans="1:1" x14ac:dyDescent="0.3">
      <c r="A543" t="e">
        <f>IF(Query2[[#This Row],[ranking]]=1,Query2[[#This Row],[concatenationcolumn]],IF(Query2[[#This Row],[ranking]]=D540+1,Query2[[#This Row],[concatenationcolumn]],_xlfn.CONCAT(Query2[[#This Row],[wh]],"-",Query2[[#This Row],[Column1]])))</f>
        <v>#VALUE!</v>
      </c>
    </row>
    <row r="544" spans="1:1" x14ac:dyDescent="0.3">
      <c r="A544" t="e">
        <f>IF(Query2[[#This Row],[ranking]]=1,Query2[[#This Row],[concatenationcolumn]],IF(Query2[[#This Row],[ranking]]=D541+1,Query2[[#This Row],[concatenationcolumn]],_xlfn.CONCAT(Query2[[#This Row],[wh]],"-",Query2[[#This Row],[Column1]])))</f>
        <v>#VALUE!</v>
      </c>
    </row>
    <row r="545" spans="1:1" x14ac:dyDescent="0.3">
      <c r="A545" t="e">
        <f>IF(Query2[[#This Row],[ranking]]=1,Query2[[#This Row],[concatenationcolumn]],IF(Query2[[#This Row],[ranking]]=D542+1,Query2[[#This Row],[concatenationcolumn]],_xlfn.CONCAT(Query2[[#This Row],[wh]],"-",Query2[[#This Row],[Column1]])))</f>
        <v>#VALUE!</v>
      </c>
    </row>
    <row r="546" spans="1:1" x14ac:dyDescent="0.3">
      <c r="A546" t="e">
        <f>IF(Query2[[#This Row],[ranking]]=1,Query2[[#This Row],[concatenationcolumn]],IF(Query2[[#This Row],[ranking]]=D543+1,Query2[[#This Row],[concatenationcolumn]],_xlfn.CONCAT(Query2[[#This Row],[wh]],"-",Query2[[#This Row],[Column1]])))</f>
        <v>#VALUE!</v>
      </c>
    </row>
    <row r="547" spans="1:1" x14ac:dyDescent="0.3">
      <c r="A547" t="e">
        <f>IF(Query2[[#This Row],[ranking]]=1,Query2[[#This Row],[concatenationcolumn]],IF(Query2[[#This Row],[ranking]]=D544+1,Query2[[#This Row],[concatenationcolumn]],_xlfn.CONCAT(Query2[[#This Row],[wh]],"-",Query2[[#This Row],[Column1]])))</f>
        <v>#VALUE!</v>
      </c>
    </row>
    <row r="548" spans="1:1" x14ac:dyDescent="0.3">
      <c r="A548" t="e">
        <f>IF(Query2[[#This Row],[ranking]]=1,Query2[[#This Row],[concatenationcolumn]],IF(Query2[[#This Row],[ranking]]=D545+1,Query2[[#This Row],[concatenationcolumn]],_xlfn.CONCAT(Query2[[#This Row],[wh]],"-",Query2[[#This Row],[Column1]])))</f>
        <v>#VALUE!</v>
      </c>
    </row>
    <row r="549" spans="1:1" x14ac:dyDescent="0.3">
      <c r="A549" t="e">
        <f>IF(Query2[[#This Row],[ranking]]=1,Query2[[#This Row],[concatenationcolumn]],IF(Query2[[#This Row],[ranking]]=D546+1,Query2[[#This Row],[concatenationcolumn]],_xlfn.CONCAT(Query2[[#This Row],[wh]],"-",Query2[[#This Row],[Column1]])))</f>
        <v>#VALUE!</v>
      </c>
    </row>
    <row r="550" spans="1:1" x14ac:dyDescent="0.3">
      <c r="A550" t="e">
        <f>IF(Query2[[#This Row],[ranking]]=1,Query2[[#This Row],[concatenationcolumn]],IF(Query2[[#This Row],[ranking]]=D547+1,Query2[[#This Row],[concatenationcolumn]],_xlfn.CONCAT(Query2[[#This Row],[wh]],"-",Query2[[#This Row],[Column1]])))</f>
        <v>#VALUE!</v>
      </c>
    </row>
    <row r="551" spans="1:1" x14ac:dyDescent="0.3">
      <c r="A551" t="e">
        <f>IF(Query2[[#This Row],[ranking]]=1,Query2[[#This Row],[concatenationcolumn]],IF(Query2[[#This Row],[ranking]]=D548+1,Query2[[#This Row],[concatenationcolumn]],_xlfn.CONCAT(Query2[[#This Row],[wh]],"-",Query2[[#This Row],[Column1]])))</f>
        <v>#VALUE!</v>
      </c>
    </row>
    <row r="552" spans="1:1" x14ac:dyDescent="0.3">
      <c r="A552" t="e">
        <f>IF(Query2[[#This Row],[ranking]]=1,Query2[[#This Row],[concatenationcolumn]],IF(Query2[[#This Row],[ranking]]=D549+1,Query2[[#This Row],[concatenationcolumn]],_xlfn.CONCAT(Query2[[#This Row],[wh]],"-",Query2[[#This Row],[Column1]])))</f>
        <v>#VALUE!</v>
      </c>
    </row>
    <row r="553" spans="1:1" x14ac:dyDescent="0.3">
      <c r="A553" t="e">
        <f>IF(Query2[[#This Row],[ranking]]=1,Query2[[#This Row],[concatenationcolumn]],IF(Query2[[#This Row],[ranking]]=D550+1,Query2[[#This Row],[concatenationcolumn]],_xlfn.CONCAT(Query2[[#This Row],[wh]],"-",Query2[[#This Row],[Column1]])))</f>
        <v>#VALUE!</v>
      </c>
    </row>
    <row r="554" spans="1:1" x14ac:dyDescent="0.3">
      <c r="A554" t="e">
        <f>IF(Query2[[#This Row],[ranking]]=1,Query2[[#This Row],[concatenationcolumn]],IF(Query2[[#This Row],[ranking]]=D551+1,Query2[[#This Row],[concatenationcolumn]],_xlfn.CONCAT(Query2[[#This Row],[wh]],"-",Query2[[#This Row],[Column1]])))</f>
        <v>#VALUE!</v>
      </c>
    </row>
    <row r="555" spans="1:1" x14ac:dyDescent="0.3">
      <c r="A555" t="e">
        <f>IF(Query2[[#This Row],[ranking]]=1,Query2[[#This Row],[concatenationcolumn]],IF(Query2[[#This Row],[ranking]]=D552+1,Query2[[#This Row],[concatenationcolumn]],_xlfn.CONCAT(Query2[[#This Row],[wh]],"-",Query2[[#This Row],[Column1]])))</f>
        <v>#VALUE!</v>
      </c>
    </row>
    <row r="556" spans="1:1" x14ac:dyDescent="0.3">
      <c r="A556" t="e">
        <f>IF(Query2[[#This Row],[ranking]]=1,Query2[[#This Row],[concatenationcolumn]],IF(Query2[[#This Row],[ranking]]=D553+1,Query2[[#This Row],[concatenationcolumn]],_xlfn.CONCAT(Query2[[#This Row],[wh]],"-",Query2[[#This Row],[Column1]])))</f>
        <v>#VALUE!</v>
      </c>
    </row>
    <row r="557" spans="1:1" x14ac:dyDescent="0.3">
      <c r="A557" t="e">
        <f>IF(Query2[[#This Row],[ranking]]=1,Query2[[#This Row],[concatenationcolumn]],IF(Query2[[#This Row],[ranking]]=D554+1,Query2[[#This Row],[concatenationcolumn]],_xlfn.CONCAT(Query2[[#This Row],[wh]],"-",Query2[[#This Row],[Column1]])))</f>
        <v>#VALUE!</v>
      </c>
    </row>
    <row r="558" spans="1:1" x14ac:dyDescent="0.3">
      <c r="A558" t="e">
        <f>IF(Query2[[#This Row],[ranking]]=1,Query2[[#This Row],[concatenationcolumn]],IF(Query2[[#This Row],[ranking]]=D555+1,Query2[[#This Row],[concatenationcolumn]],_xlfn.CONCAT(Query2[[#This Row],[wh]],"-",Query2[[#This Row],[Column1]])))</f>
        <v>#VALUE!</v>
      </c>
    </row>
    <row r="559" spans="1:1" x14ac:dyDescent="0.3">
      <c r="A559" t="e">
        <f>IF(Query2[[#This Row],[ranking]]=1,Query2[[#This Row],[concatenationcolumn]],IF(Query2[[#This Row],[ranking]]=D556+1,Query2[[#This Row],[concatenationcolumn]],_xlfn.CONCAT(Query2[[#This Row],[wh]],"-",Query2[[#This Row],[Column1]])))</f>
        <v>#VALUE!</v>
      </c>
    </row>
    <row r="560" spans="1:1" x14ac:dyDescent="0.3">
      <c r="A560" t="e">
        <f>IF(Query2[[#This Row],[ranking]]=1,Query2[[#This Row],[concatenationcolumn]],IF(Query2[[#This Row],[ranking]]=D557+1,Query2[[#This Row],[concatenationcolumn]],_xlfn.CONCAT(Query2[[#This Row],[wh]],"-",Query2[[#This Row],[Column1]])))</f>
        <v>#VALUE!</v>
      </c>
    </row>
    <row r="561" spans="1:1" x14ac:dyDescent="0.3">
      <c r="A561" t="e">
        <f>IF(Query2[[#This Row],[ranking]]=1,Query2[[#This Row],[concatenationcolumn]],IF(Query2[[#This Row],[ranking]]=D558+1,Query2[[#This Row],[concatenationcolumn]],_xlfn.CONCAT(Query2[[#This Row],[wh]],"-",Query2[[#This Row],[Column1]])))</f>
        <v>#VALUE!</v>
      </c>
    </row>
    <row r="562" spans="1:1" x14ac:dyDescent="0.3">
      <c r="A562" t="e">
        <f>IF(Query2[[#This Row],[ranking]]=1,Query2[[#This Row],[concatenationcolumn]],IF(Query2[[#This Row],[ranking]]=D559+1,Query2[[#This Row],[concatenationcolumn]],_xlfn.CONCAT(Query2[[#This Row],[wh]],"-",Query2[[#This Row],[Column1]])))</f>
        <v>#VALUE!</v>
      </c>
    </row>
    <row r="563" spans="1:1" x14ac:dyDescent="0.3">
      <c r="A563" t="e">
        <f>IF(Query2[[#This Row],[ranking]]=1,Query2[[#This Row],[concatenationcolumn]],IF(Query2[[#This Row],[ranking]]=D560+1,Query2[[#This Row],[concatenationcolumn]],_xlfn.CONCAT(Query2[[#This Row],[wh]],"-",Query2[[#This Row],[Column1]])))</f>
        <v>#VALUE!</v>
      </c>
    </row>
    <row r="564" spans="1:1" x14ac:dyDescent="0.3">
      <c r="A564" t="e">
        <f>IF(Query2[[#This Row],[ranking]]=1,Query2[[#This Row],[concatenationcolumn]],IF(Query2[[#This Row],[ranking]]=D561+1,Query2[[#This Row],[concatenationcolumn]],_xlfn.CONCAT(Query2[[#This Row],[wh]],"-",Query2[[#This Row],[Column1]])))</f>
        <v>#VALUE!</v>
      </c>
    </row>
    <row r="565" spans="1:1" x14ac:dyDescent="0.3">
      <c r="A565" t="e">
        <f>IF(Query2[[#This Row],[ranking]]=1,Query2[[#This Row],[concatenationcolumn]],IF(Query2[[#This Row],[ranking]]=D562+1,Query2[[#This Row],[concatenationcolumn]],_xlfn.CONCAT(Query2[[#This Row],[wh]],"-",Query2[[#This Row],[Column1]])))</f>
        <v>#VALUE!</v>
      </c>
    </row>
    <row r="566" spans="1:1" x14ac:dyDescent="0.3">
      <c r="A566" t="e">
        <f>IF(Query2[[#This Row],[ranking]]=1,Query2[[#This Row],[concatenationcolumn]],IF(Query2[[#This Row],[ranking]]=D563+1,Query2[[#This Row],[concatenationcolumn]],_xlfn.CONCAT(Query2[[#This Row],[wh]],"-",Query2[[#This Row],[Column1]])))</f>
        <v>#VALUE!</v>
      </c>
    </row>
    <row r="567" spans="1:1" x14ac:dyDescent="0.3">
      <c r="A567" t="e">
        <f>IF(Query2[[#This Row],[ranking]]=1,Query2[[#This Row],[concatenationcolumn]],IF(Query2[[#This Row],[ranking]]=D564+1,Query2[[#This Row],[concatenationcolumn]],_xlfn.CONCAT(Query2[[#This Row],[wh]],"-",Query2[[#This Row],[Column1]])))</f>
        <v>#VALUE!</v>
      </c>
    </row>
    <row r="568" spans="1:1" x14ac:dyDescent="0.3">
      <c r="A568" t="e">
        <f>IF(Query2[[#This Row],[ranking]]=1,Query2[[#This Row],[concatenationcolumn]],IF(Query2[[#This Row],[ranking]]=D565+1,Query2[[#This Row],[concatenationcolumn]],_xlfn.CONCAT(Query2[[#This Row],[wh]],"-",Query2[[#This Row],[Column1]])))</f>
        <v>#VALUE!</v>
      </c>
    </row>
    <row r="569" spans="1:1" x14ac:dyDescent="0.3">
      <c r="A569" t="e">
        <f>IF(Query2[[#This Row],[ranking]]=1,Query2[[#This Row],[concatenationcolumn]],IF(Query2[[#This Row],[ranking]]=D566+1,Query2[[#This Row],[concatenationcolumn]],_xlfn.CONCAT(Query2[[#This Row],[wh]],"-",Query2[[#This Row],[Column1]])))</f>
        <v>#VALUE!</v>
      </c>
    </row>
    <row r="570" spans="1:1" x14ac:dyDescent="0.3">
      <c r="A570" t="e">
        <f>IF(Query2[[#This Row],[ranking]]=1,Query2[[#This Row],[concatenationcolumn]],IF(Query2[[#This Row],[ranking]]=D567+1,Query2[[#This Row],[concatenationcolumn]],_xlfn.CONCAT(Query2[[#This Row],[wh]],"-",Query2[[#This Row],[Column1]])))</f>
        <v>#VALUE!</v>
      </c>
    </row>
    <row r="571" spans="1:1" x14ac:dyDescent="0.3">
      <c r="A571" t="e">
        <f>IF(Query2[[#This Row],[ranking]]=1,Query2[[#This Row],[concatenationcolumn]],IF(Query2[[#This Row],[ranking]]=D568+1,Query2[[#This Row],[concatenationcolumn]],_xlfn.CONCAT(Query2[[#This Row],[wh]],"-",Query2[[#This Row],[Column1]])))</f>
        <v>#VALUE!</v>
      </c>
    </row>
    <row r="572" spans="1:1" x14ac:dyDescent="0.3">
      <c r="A572" t="e">
        <f>IF(Query2[[#This Row],[ranking]]=1,Query2[[#This Row],[concatenationcolumn]],IF(Query2[[#This Row],[ranking]]=D569+1,Query2[[#This Row],[concatenationcolumn]],_xlfn.CONCAT(Query2[[#This Row],[wh]],"-",Query2[[#This Row],[Column1]])))</f>
        <v>#VALUE!</v>
      </c>
    </row>
    <row r="573" spans="1:1" x14ac:dyDescent="0.3">
      <c r="A573" t="e">
        <f>IF(Query2[[#This Row],[ranking]]=1,Query2[[#This Row],[concatenationcolumn]],IF(Query2[[#This Row],[ranking]]=D570+1,Query2[[#This Row],[concatenationcolumn]],_xlfn.CONCAT(Query2[[#This Row],[wh]],"-",Query2[[#This Row],[Column1]])))</f>
        <v>#VALUE!</v>
      </c>
    </row>
    <row r="574" spans="1:1" x14ac:dyDescent="0.3">
      <c r="A574" t="e">
        <f>IF(Query2[[#This Row],[ranking]]=1,Query2[[#This Row],[concatenationcolumn]],IF(Query2[[#This Row],[ranking]]=D571+1,Query2[[#This Row],[concatenationcolumn]],_xlfn.CONCAT(Query2[[#This Row],[wh]],"-",Query2[[#This Row],[Column1]])))</f>
        <v>#VALUE!</v>
      </c>
    </row>
    <row r="575" spans="1:1" x14ac:dyDescent="0.3">
      <c r="A575" t="e">
        <f>IF(Query2[[#This Row],[ranking]]=1,Query2[[#This Row],[concatenationcolumn]],IF(Query2[[#This Row],[ranking]]=D572+1,Query2[[#This Row],[concatenationcolumn]],_xlfn.CONCAT(Query2[[#This Row],[wh]],"-",Query2[[#This Row],[Column1]])))</f>
        <v>#VALUE!</v>
      </c>
    </row>
    <row r="576" spans="1:1" x14ac:dyDescent="0.3">
      <c r="A576" t="e">
        <f>IF(Query2[[#This Row],[ranking]]=1,Query2[[#This Row],[concatenationcolumn]],IF(Query2[[#This Row],[ranking]]=D573+1,Query2[[#This Row],[concatenationcolumn]],_xlfn.CONCAT(Query2[[#This Row],[wh]],"-",Query2[[#This Row],[Column1]])))</f>
        <v>#VALUE!</v>
      </c>
    </row>
    <row r="577" spans="1:1" x14ac:dyDescent="0.3">
      <c r="A577" t="e">
        <f>IF(Query2[[#This Row],[ranking]]=1,Query2[[#This Row],[concatenationcolumn]],IF(Query2[[#This Row],[ranking]]=D574+1,Query2[[#This Row],[concatenationcolumn]],_xlfn.CONCAT(Query2[[#This Row],[wh]],"-",Query2[[#This Row],[Column1]])))</f>
        <v>#VALUE!</v>
      </c>
    </row>
    <row r="578" spans="1:1" x14ac:dyDescent="0.3">
      <c r="A578" t="e">
        <f>IF(Query2[[#This Row],[ranking]]=1,Query2[[#This Row],[concatenationcolumn]],IF(Query2[[#This Row],[ranking]]=D575+1,Query2[[#This Row],[concatenationcolumn]],_xlfn.CONCAT(Query2[[#This Row],[wh]],"-",Query2[[#This Row],[Column1]])))</f>
        <v>#VALUE!</v>
      </c>
    </row>
    <row r="579" spans="1:1" x14ac:dyDescent="0.3">
      <c r="A579" t="e">
        <f>IF(Query2[[#This Row],[ranking]]=1,Query2[[#This Row],[concatenationcolumn]],IF(Query2[[#This Row],[ranking]]=D576+1,Query2[[#This Row],[concatenationcolumn]],_xlfn.CONCAT(Query2[[#This Row],[wh]],"-",Query2[[#This Row],[Column1]])))</f>
        <v>#VALUE!</v>
      </c>
    </row>
    <row r="580" spans="1:1" x14ac:dyDescent="0.3">
      <c r="A580" t="e">
        <f>IF(Query2[[#This Row],[ranking]]=1,Query2[[#This Row],[concatenationcolumn]],IF(Query2[[#This Row],[ranking]]=D577+1,Query2[[#This Row],[concatenationcolumn]],_xlfn.CONCAT(Query2[[#This Row],[wh]],"-",Query2[[#This Row],[Column1]])))</f>
        <v>#VALUE!</v>
      </c>
    </row>
    <row r="581" spans="1:1" x14ac:dyDescent="0.3">
      <c r="A581" t="e">
        <f>IF(Query2[[#This Row],[ranking]]=1,Query2[[#This Row],[concatenationcolumn]],IF(Query2[[#This Row],[ranking]]=D578+1,Query2[[#This Row],[concatenationcolumn]],_xlfn.CONCAT(Query2[[#This Row],[wh]],"-",Query2[[#This Row],[Column1]])))</f>
        <v>#VALUE!</v>
      </c>
    </row>
    <row r="582" spans="1:1" x14ac:dyDescent="0.3">
      <c r="A582" t="e">
        <f>IF(Query2[[#This Row],[ranking]]=1,Query2[[#This Row],[concatenationcolumn]],IF(Query2[[#This Row],[ranking]]=D579+1,Query2[[#This Row],[concatenationcolumn]],_xlfn.CONCAT(Query2[[#This Row],[wh]],"-",Query2[[#This Row],[Column1]])))</f>
        <v>#VALUE!</v>
      </c>
    </row>
    <row r="583" spans="1:1" x14ac:dyDescent="0.3">
      <c r="A583" t="e">
        <f>IF(Query2[[#This Row],[ranking]]=1,Query2[[#This Row],[concatenationcolumn]],IF(Query2[[#This Row],[ranking]]=D580+1,Query2[[#This Row],[concatenationcolumn]],_xlfn.CONCAT(Query2[[#This Row],[wh]],"-",Query2[[#This Row],[Column1]])))</f>
        <v>#VALUE!</v>
      </c>
    </row>
    <row r="584" spans="1:1" x14ac:dyDescent="0.3">
      <c r="A584" t="e">
        <f>IF(Query2[[#This Row],[ranking]]=1,Query2[[#This Row],[concatenationcolumn]],IF(Query2[[#This Row],[ranking]]=D581+1,Query2[[#This Row],[concatenationcolumn]],_xlfn.CONCAT(Query2[[#This Row],[wh]],"-",Query2[[#This Row],[Column1]])))</f>
        <v>#VALUE!</v>
      </c>
    </row>
    <row r="585" spans="1:1" x14ac:dyDescent="0.3">
      <c r="A585" t="e">
        <f>IF(Query2[[#This Row],[ranking]]=1,Query2[[#This Row],[concatenationcolumn]],IF(Query2[[#This Row],[ranking]]=D582+1,Query2[[#This Row],[concatenationcolumn]],_xlfn.CONCAT(Query2[[#This Row],[wh]],"-",Query2[[#This Row],[Column1]])))</f>
        <v>#VALUE!</v>
      </c>
    </row>
    <row r="586" spans="1:1" x14ac:dyDescent="0.3">
      <c r="A586" t="e">
        <f>IF(Query2[[#This Row],[ranking]]=1,Query2[[#This Row],[concatenationcolumn]],IF(Query2[[#This Row],[ranking]]=D583+1,Query2[[#This Row],[concatenationcolumn]],_xlfn.CONCAT(Query2[[#This Row],[wh]],"-",Query2[[#This Row],[Column1]])))</f>
        <v>#VALUE!</v>
      </c>
    </row>
    <row r="587" spans="1:1" x14ac:dyDescent="0.3">
      <c r="A587" t="e">
        <f>IF(Query2[[#This Row],[ranking]]=1,Query2[[#This Row],[concatenationcolumn]],IF(Query2[[#This Row],[ranking]]=D584+1,Query2[[#This Row],[concatenationcolumn]],_xlfn.CONCAT(Query2[[#This Row],[wh]],"-",Query2[[#This Row],[Column1]])))</f>
        <v>#VALUE!</v>
      </c>
    </row>
    <row r="588" spans="1:1" x14ac:dyDescent="0.3">
      <c r="A588" t="e">
        <f>IF(Query2[[#This Row],[ranking]]=1,Query2[[#This Row],[concatenationcolumn]],IF(Query2[[#This Row],[ranking]]=D585+1,Query2[[#This Row],[concatenationcolumn]],_xlfn.CONCAT(Query2[[#This Row],[wh]],"-",Query2[[#This Row],[Column1]])))</f>
        <v>#VALUE!</v>
      </c>
    </row>
    <row r="589" spans="1:1" x14ac:dyDescent="0.3">
      <c r="A589" t="e">
        <f>IF(Query2[[#This Row],[ranking]]=1,Query2[[#This Row],[concatenationcolumn]],IF(Query2[[#This Row],[ranking]]=D586+1,Query2[[#This Row],[concatenationcolumn]],_xlfn.CONCAT(Query2[[#This Row],[wh]],"-",Query2[[#This Row],[Column1]])))</f>
        <v>#VALUE!</v>
      </c>
    </row>
    <row r="590" spans="1:1" x14ac:dyDescent="0.3">
      <c r="A590" t="e">
        <f>IF(Query2[[#This Row],[ranking]]=1,Query2[[#This Row],[concatenationcolumn]],IF(Query2[[#This Row],[ranking]]=D587+1,Query2[[#This Row],[concatenationcolumn]],_xlfn.CONCAT(Query2[[#This Row],[wh]],"-",Query2[[#This Row],[Column1]])))</f>
        <v>#VALUE!</v>
      </c>
    </row>
    <row r="591" spans="1:1" x14ac:dyDescent="0.3">
      <c r="A591" t="e">
        <f>IF(Query2[[#This Row],[ranking]]=1,Query2[[#This Row],[concatenationcolumn]],IF(Query2[[#This Row],[ranking]]=D588+1,Query2[[#This Row],[concatenationcolumn]],_xlfn.CONCAT(Query2[[#This Row],[wh]],"-",Query2[[#This Row],[Column1]])))</f>
        <v>#VALUE!</v>
      </c>
    </row>
    <row r="592" spans="1:1" x14ac:dyDescent="0.3">
      <c r="A592" t="e">
        <f>IF(Query2[[#This Row],[ranking]]=1,Query2[[#This Row],[concatenationcolumn]],IF(Query2[[#This Row],[ranking]]=D589+1,Query2[[#This Row],[concatenationcolumn]],_xlfn.CONCAT(Query2[[#This Row],[wh]],"-",Query2[[#This Row],[Column1]])))</f>
        <v>#VALUE!</v>
      </c>
    </row>
    <row r="593" spans="1:1" x14ac:dyDescent="0.3">
      <c r="A593" t="e">
        <f>IF(Query2[[#This Row],[ranking]]=1,Query2[[#This Row],[concatenationcolumn]],IF(Query2[[#This Row],[ranking]]=D590+1,Query2[[#This Row],[concatenationcolumn]],_xlfn.CONCAT(Query2[[#This Row],[wh]],"-",Query2[[#This Row],[Column1]])))</f>
        <v>#VALUE!</v>
      </c>
    </row>
    <row r="594" spans="1:1" x14ac:dyDescent="0.3">
      <c r="A594" t="e">
        <f>IF(Query2[[#This Row],[ranking]]=1,Query2[[#This Row],[concatenationcolumn]],IF(Query2[[#This Row],[ranking]]=D591+1,Query2[[#This Row],[concatenationcolumn]],_xlfn.CONCAT(Query2[[#This Row],[wh]],"-",Query2[[#This Row],[Column1]])))</f>
        <v>#VALUE!</v>
      </c>
    </row>
    <row r="595" spans="1:1" x14ac:dyDescent="0.3">
      <c r="A595" t="e">
        <f>IF(Query2[[#This Row],[ranking]]=1,Query2[[#This Row],[concatenationcolumn]],IF(Query2[[#This Row],[ranking]]=D592+1,Query2[[#This Row],[concatenationcolumn]],_xlfn.CONCAT(Query2[[#This Row],[wh]],"-",Query2[[#This Row],[Column1]])))</f>
        <v>#VALUE!</v>
      </c>
    </row>
    <row r="596" spans="1:1" x14ac:dyDescent="0.3">
      <c r="A596" t="e">
        <f>IF(Query2[[#This Row],[ranking]]=1,Query2[[#This Row],[concatenationcolumn]],IF(Query2[[#This Row],[ranking]]=D593+1,Query2[[#This Row],[concatenationcolumn]],_xlfn.CONCAT(Query2[[#This Row],[wh]],"-",Query2[[#This Row],[Column1]])))</f>
        <v>#VALUE!</v>
      </c>
    </row>
    <row r="597" spans="1:1" x14ac:dyDescent="0.3">
      <c r="A597" t="e">
        <f>IF(Query2[[#This Row],[ranking]]=1,Query2[[#This Row],[concatenationcolumn]],IF(Query2[[#This Row],[ranking]]=D594+1,Query2[[#This Row],[concatenationcolumn]],_xlfn.CONCAT(Query2[[#This Row],[wh]],"-",Query2[[#This Row],[Column1]])))</f>
        <v>#VALUE!</v>
      </c>
    </row>
    <row r="598" spans="1:1" x14ac:dyDescent="0.3">
      <c r="A598" t="e">
        <f>IF(Query2[[#This Row],[ranking]]=1,Query2[[#This Row],[concatenationcolumn]],IF(Query2[[#This Row],[ranking]]=D595+1,Query2[[#This Row],[concatenationcolumn]],_xlfn.CONCAT(Query2[[#This Row],[wh]],"-",Query2[[#This Row],[Column1]])))</f>
        <v>#VALUE!</v>
      </c>
    </row>
    <row r="599" spans="1:1" x14ac:dyDescent="0.3">
      <c r="A599" t="e">
        <f>IF(Query2[[#This Row],[ranking]]=1,Query2[[#This Row],[concatenationcolumn]],IF(Query2[[#This Row],[ranking]]=D596+1,Query2[[#This Row],[concatenationcolumn]],_xlfn.CONCAT(Query2[[#This Row],[wh]],"-",Query2[[#This Row],[Column1]])))</f>
        <v>#VALUE!</v>
      </c>
    </row>
    <row r="600" spans="1:1" x14ac:dyDescent="0.3">
      <c r="A600" t="e">
        <f>IF(Query2[[#This Row],[ranking]]=1,Query2[[#This Row],[concatenationcolumn]],IF(Query2[[#This Row],[ranking]]=D597+1,Query2[[#This Row],[concatenationcolumn]],_xlfn.CONCAT(Query2[[#This Row],[wh]],"-",Query2[[#This Row],[Column1]])))</f>
        <v>#VALUE!</v>
      </c>
    </row>
    <row r="601" spans="1:1" x14ac:dyDescent="0.3">
      <c r="A601" t="e">
        <f>IF(Query2[[#This Row],[ranking]]=1,Query2[[#This Row],[concatenationcolumn]],IF(Query2[[#This Row],[ranking]]=D598+1,Query2[[#This Row],[concatenationcolumn]],_xlfn.CONCAT(Query2[[#This Row],[wh]],"-",Query2[[#This Row],[Column1]])))</f>
        <v>#VALUE!</v>
      </c>
    </row>
    <row r="602" spans="1:1" x14ac:dyDescent="0.3">
      <c r="A602" t="e">
        <f>IF(Query2[[#This Row],[ranking]]=1,Query2[[#This Row],[concatenationcolumn]],IF(Query2[[#This Row],[ranking]]=D599+1,Query2[[#This Row],[concatenationcolumn]],_xlfn.CONCAT(Query2[[#This Row],[wh]],"-",Query2[[#This Row],[Column1]])))</f>
        <v>#VALUE!</v>
      </c>
    </row>
    <row r="603" spans="1:1" x14ac:dyDescent="0.3">
      <c r="A603" t="e">
        <f>IF(Query2[[#This Row],[ranking]]=1,Query2[[#This Row],[concatenationcolumn]],IF(Query2[[#This Row],[ranking]]=D600+1,Query2[[#This Row],[concatenationcolumn]],_xlfn.CONCAT(Query2[[#This Row],[wh]],"-",Query2[[#This Row],[Column1]])))</f>
        <v>#VALUE!</v>
      </c>
    </row>
    <row r="604" spans="1:1" x14ac:dyDescent="0.3">
      <c r="A604" t="e">
        <f>IF(Query2[[#This Row],[ranking]]=1,Query2[[#This Row],[concatenationcolumn]],IF(Query2[[#This Row],[ranking]]=D601+1,Query2[[#This Row],[concatenationcolumn]],_xlfn.CONCAT(Query2[[#This Row],[wh]],"-",Query2[[#This Row],[Column1]])))</f>
        <v>#VALUE!</v>
      </c>
    </row>
    <row r="605" spans="1:1" x14ac:dyDescent="0.3">
      <c r="A605" t="e">
        <f>IF(Query2[[#This Row],[ranking]]=1,Query2[[#This Row],[concatenationcolumn]],IF(Query2[[#This Row],[ranking]]=D602+1,Query2[[#This Row],[concatenationcolumn]],_xlfn.CONCAT(Query2[[#This Row],[wh]],"-",Query2[[#This Row],[Column1]])))</f>
        <v>#VALUE!</v>
      </c>
    </row>
    <row r="606" spans="1:1" x14ac:dyDescent="0.3">
      <c r="A606" t="e">
        <f>IF(Query2[[#This Row],[ranking]]=1,Query2[[#This Row],[concatenationcolumn]],IF(Query2[[#This Row],[ranking]]=D603+1,Query2[[#This Row],[concatenationcolumn]],_xlfn.CONCAT(Query2[[#This Row],[wh]],"-",Query2[[#This Row],[Column1]])))</f>
        <v>#VALUE!</v>
      </c>
    </row>
    <row r="607" spans="1:1" x14ac:dyDescent="0.3">
      <c r="A607" t="e">
        <f>IF(Query2[[#This Row],[ranking]]=1,Query2[[#This Row],[concatenationcolumn]],IF(Query2[[#This Row],[ranking]]=D604+1,Query2[[#This Row],[concatenationcolumn]],_xlfn.CONCAT(Query2[[#This Row],[wh]],"-",Query2[[#This Row],[Column1]])))</f>
        <v>#VALUE!</v>
      </c>
    </row>
    <row r="608" spans="1:1" x14ac:dyDescent="0.3">
      <c r="A608" t="e">
        <f>IF(Query2[[#This Row],[ranking]]=1,Query2[[#This Row],[concatenationcolumn]],IF(Query2[[#This Row],[ranking]]=D605+1,Query2[[#This Row],[concatenationcolumn]],_xlfn.CONCAT(Query2[[#This Row],[wh]],"-",Query2[[#This Row],[Column1]])))</f>
        <v>#VALUE!</v>
      </c>
    </row>
    <row r="609" spans="1:1" x14ac:dyDescent="0.3">
      <c r="A609" t="e">
        <f>IF(Query2[[#This Row],[ranking]]=1,Query2[[#This Row],[concatenationcolumn]],IF(Query2[[#This Row],[ranking]]=D606+1,Query2[[#This Row],[concatenationcolumn]],_xlfn.CONCAT(Query2[[#This Row],[wh]],"-",Query2[[#This Row],[Column1]])))</f>
        <v>#VALUE!</v>
      </c>
    </row>
    <row r="610" spans="1:1" x14ac:dyDescent="0.3">
      <c r="A610" t="e">
        <f>IF(Query2[[#This Row],[ranking]]=1,Query2[[#This Row],[concatenationcolumn]],IF(Query2[[#This Row],[ranking]]=D607+1,Query2[[#This Row],[concatenationcolumn]],_xlfn.CONCAT(Query2[[#This Row],[wh]],"-",Query2[[#This Row],[Column1]])))</f>
        <v>#VALUE!</v>
      </c>
    </row>
    <row r="611" spans="1:1" x14ac:dyDescent="0.3">
      <c r="A611" t="e">
        <f>IF(Query2[[#This Row],[ranking]]=1,Query2[[#This Row],[concatenationcolumn]],IF(Query2[[#This Row],[ranking]]=D608+1,Query2[[#This Row],[concatenationcolumn]],_xlfn.CONCAT(Query2[[#This Row],[wh]],"-",Query2[[#This Row],[Column1]])))</f>
        <v>#VALUE!</v>
      </c>
    </row>
    <row r="612" spans="1:1" x14ac:dyDescent="0.3">
      <c r="A612" t="e">
        <f>IF(Query2[[#This Row],[ranking]]=1,Query2[[#This Row],[concatenationcolumn]],IF(Query2[[#This Row],[ranking]]=D609+1,Query2[[#This Row],[concatenationcolumn]],_xlfn.CONCAT(Query2[[#This Row],[wh]],"-",Query2[[#This Row],[Column1]])))</f>
        <v>#VALUE!</v>
      </c>
    </row>
    <row r="613" spans="1:1" x14ac:dyDescent="0.3">
      <c r="A613" t="e">
        <f>IF(Query2[[#This Row],[ranking]]=1,Query2[[#This Row],[concatenationcolumn]],IF(Query2[[#This Row],[ranking]]=D610+1,Query2[[#This Row],[concatenationcolumn]],_xlfn.CONCAT(Query2[[#This Row],[wh]],"-",Query2[[#This Row],[Column1]])))</f>
        <v>#VALUE!</v>
      </c>
    </row>
    <row r="614" spans="1:1" x14ac:dyDescent="0.3">
      <c r="A614" t="e">
        <f>IF(Query2[[#This Row],[ranking]]=1,Query2[[#This Row],[concatenationcolumn]],IF(Query2[[#This Row],[ranking]]=D611+1,Query2[[#This Row],[concatenationcolumn]],_xlfn.CONCAT(Query2[[#This Row],[wh]],"-",Query2[[#This Row],[Column1]])))</f>
        <v>#VALUE!</v>
      </c>
    </row>
    <row r="615" spans="1:1" x14ac:dyDescent="0.3">
      <c r="A615" t="e">
        <f>IF(Query2[[#This Row],[ranking]]=1,Query2[[#This Row],[concatenationcolumn]],IF(Query2[[#This Row],[ranking]]=D612+1,Query2[[#This Row],[concatenationcolumn]],_xlfn.CONCAT(Query2[[#This Row],[wh]],"-",Query2[[#This Row],[Column1]])))</f>
        <v>#VALUE!</v>
      </c>
    </row>
    <row r="616" spans="1:1" x14ac:dyDescent="0.3">
      <c r="A616" t="e">
        <f>IF(Query2[[#This Row],[ranking]]=1,Query2[[#This Row],[concatenationcolumn]],IF(Query2[[#This Row],[ranking]]=D613+1,Query2[[#This Row],[concatenationcolumn]],_xlfn.CONCAT(Query2[[#This Row],[wh]],"-",Query2[[#This Row],[Column1]])))</f>
        <v>#VALUE!</v>
      </c>
    </row>
    <row r="617" spans="1:1" x14ac:dyDescent="0.3">
      <c r="A617" t="e">
        <f>IF(Query2[[#This Row],[ranking]]=1,Query2[[#This Row],[concatenationcolumn]],IF(Query2[[#This Row],[ranking]]=D614+1,Query2[[#This Row],[concatenationcolumn]],_xlfn.CONCAT(Query2[[#This Row],[wh]],"-",Query2[[#This Row],[Column1]])))</f>
        <v>#VALUE!</v>
      </c>
    </row>
    <row r="618" spans="1:1" x14ac:dyDescent="0.3">
      <c r="A618" t="e">
        <f>IF(Query2[[#This Row],[ranking]]=1,Query2[[#This Row],[concatenationcolumn]],IF(Query2[[#This Row],[ranking]]=D615+1,Query2[[#This Row],[concatenationcolumn]],_xlfn.CONCAT(Query2[[#This Row],[wh]],"-",Query2[[#This Row],[Column1]])))</f>
        <v>#VALUE!</v>
      </c>
    </row>
    <row r="619" spans="1:1" x14ac:dyDescent="0.3">
      <c r="A619" t="e">
        <f>IF(Query2[[#This Row],[ranking]]=1,Query2[[#This Row],[concatenationcolumn]],IF(Query2[[#This Row],[ranking]]=D616+1,Query2[[#This Row],[concatenationcolumn]],_xlfn.CONCAT(Query2[[#This Row],[wh]],"-",Query2[[#This Row],[Column1]])))</f>
        <v>#VALUE!</v>
      </c>
    </row>
    <row r="620" spans="1:1" x14ac:dyDescent="0.3">
      <c r="A620" t="e">
        <f>IF(Query2[[#This Row],[ranking]]=1,Query2[[#This Row],[concatenationcolumn]],IF(Query2[[#This Row],[ranking]]=D617+1,Query2[[#This Row],[concatenationcolumn]],_xlfn.CONCAT(Query2[[#This Row],[wh]],"-",Query2[[#This Row],[Column1]])))</f>
        <v>#VALUE!</v>
      </c>
    </row>
    <row r="621" spans="1:1" x14ac:dyDescent="0.3">
      <c r="A621" t="e">
        <f>IF(Query2[[#This Row],[ranking]]=1,Query2[[#This Row],[concatenationcolumn]],IF(Query2[[#This Row],[ranking]]=D618+1,Query2[[#This Row],[concatenationcolumn]],_xlfn.CONCAT(Query2[[#This Row],[wh]],"-",Query2[[#This Row],[Column1]])))</f>
        <v>#VALUE!</v>
      </c>
    </row>
    <row r="622" spans="1:1" x14ac:dyDescent="0.3">
      <c r="A622" t="e">
        <f>IF(Query2[[#This Row],[ranking]]=1,Query2[[#This Row],[concatenationcolumn]],IF(Query2[[#This Row],[ranking]]=D619+1,Query2[[#This Row],[concatenationcolumn]],_xlfn.CONCAT(Query2[[#This Row],[wh]],"-",Query2[[#This Row],[Column1]])))</f>
        <v>#VALUE!</v>
      </c>
    </row>
    <row r="623" spans="1:1" x14ac:dyDescent="0.3">
      <c r="A623" t="e">
        <f>IF(Query2[[#This Row],[ranking]]=1,Query2[[#This Row],[concatenationcolumn]],IF(Query2[[#This Row],[ranking]]=D620+1,Query2[[#This Row],[concatenationcolumn]],_xlfn.CONCAT(Query2[[#This Row],[wh]],"-",Query2[[#This Row],[Column1]])))</f>
        <v>#VALUE!</v>
      </c>
    </row>
    <row r="624" spans="1:1" x14ac:dyDescent="0.3">
      <c r="A624" t="e">
        <f>IF(Query2[[#This Row],[ranking]]=1,Query2[[#This Row],[concatenationcolumn]],IF(Query2[[#This Row],[ranking]]=D621+1,Query2[[#This Row],[concatenationcolumn]],_xlfn.CONCAT(Query2[[#This Row],[wh]],"-",Query2[[#This Row],[Column1]])))</f>
        <v>#VALUE!</v>
      </c>
    </row>
    <row r="625" spans="1:1" x14ac:dyDescent="0.3">
      <c r="A625" t="e">
        <f>IF(Query2[[#This Row],[ranking]]=1,Query2[[#This Row],[concatenationcolumn]],IF(Query2[[#This Row],[ranking]]=D622+1,Query2[[#This Row],[concatenationcolumn]],_xlfn.CONCAT(Query2[[#This Row],[wh]],"-",Query2[[#This Row],[Column1]])))</f>
        <v>#VALUE!</v>
      </c>
    </row>
    <row r="626" spans="1:1" x14ac:dyDescent="0.3">
      <c r="A626" t="e">
        <f>IF(Query2[[#This Row],[ranking]]=1,Query2[[#This Row],[concatenationcolumn]],IF(Query2[[#This Row],[ranking]]=D623+1,Query2[[#This Row],[concatenationcolumn]],_xlfn.CONCAT(Query2[[#This Row],[wh]],"-",Query2[[#This Row],[Column1]])))</f>
        <v>#VALUE!</v>
      </c>
    </row>
    <row r="627" spans="1:1" x14ac:dyDescent="0.3">
      <c r="A627" t="e">
        <f>IF(Query2[[#This Row],[ranking]]=1,Query2[[#This Row],[concatenationcolumn]],IF(Query2[[#This Row],[ranking]]=D624+1,Query2[[#This Row],[concatenationcolumn]],_xlfn.CONCAT(Query2[[#This Row],[wh]],"-",Query2[[#This Row],[Column1]])))</f>
        <v>#VALUE!</v>
      </c>
    </row>
    <row r="628" spans="1:1" x14ac:dyDescent="0.3">
      <c r="A628" t="e">
        <f>IF(Query2[[#This Row],[ranking]]=1,Query2[[#This Row],[concatenationcolumn]],IF(Query2[[#This Row],[ranking]]=D625+1,Query2[[#This Row],[concatenationcolumn]],_xlfn.CONCAT(Query2[[#This Row],[wh]],"-",Query2[[#This Row],[Column1]])))</f>
        <v>#VALUE!</v>
      </c>
    </row>
    <row r="629" spans="1:1" x14ac:dyDescent="0.3">
      <c r="A629" t="e">
        <f>IF(Query2[[#This Row],[ranking]]=1,Query2[[#This Row],[concatenationcolumn]],IF(Query2[[#This Row],[ranking]]=D626+1,Query2[[#This Row],[concatenationcolumn]],_xlfn.CONCAT(Query2[[#This Row],[wh]],"-",Query2[[#This Row],[Column1]])))</f>
        <v>#VALUE!</v>
      </c>
    </row>
    <row r="630" spans="1:1" x14ac:dyDescent="0.3">
      <c r="A630" t="e">
        <f>IF(Query2[[#This Row],[ranking]]=1,Query2[[#This Row],[concatenationcolumn]],IF(Query2[[#This Row],[ranking]]=D627+1,Query2[[#This Row],[concatenationcolumn]],_xlfn.CONCAT(Query2[[#This Row],[wh]],"-",Query2[[#This Row],[Column1]])))</f>
        <v>#VALUE!</v>
      </c>
    </row>
    <row r="631" spans="1:1" x14ac:dyDescent="0.3">
      <c r="A631" t="e">
        <f>IF(Query2[[#This Row],[ranking]]=1,Query2[[#This Row],[concatenationcolumn]],IF(Query2[[#This Row],[ranking]]=D628+1,Query2[[#This Row],[concatenationcolumn]],_xlfn.CONCAT(Query2[[#This Row],[wh]],"-",Query2[[#This Row],[Column1]])))</f>
        <v>#VALUE!</v>
      </c>
    </row>
    <row r="632" spans="1:1" x14ac:dyDescent="0.3">
      <c r="A632" t="e">
        <f>IF(Query2[[#This Row],[ranking]]=1,Query2[[#This Row],[concatenationcolumn]],IF(Query2[[#This Row],[ranking]]=D629+1,Query2[[#This Row],[concatenationcolumn]],_xlfn.CONCAT(Query2[[#This Row],[wh]],"-",Query2[[#This Row],[Column1]])))</f>
        <v>#VALUE!</v>
      </c>
    </row>
    <row r="633" spans="1:1" x14ac:dyDescent="0.3">
      <c r="A633" t="e">
        <f>IF(Query2[[#This Row],[ranking]]=1,Query2[[#This Row],[concatenationcolumn]],IF(Query2[[#This Row],[ranking]]=D630+1,Query2[[#This Row],[concatenationcolumn]],_xlfn.CONCAT(Query2[[#This Row],[wh]],"-",Query2[[#This Row],[Column1]])))</f>
        <v>#VALUE!</v>
      </c>
    </row>
    <row r="634" spans="1:1" x14ac:dyDescent="0.3">
      <c r="A634" t="e">
        <f>IF(Query2[[#This Row],[ranking]]=1,Query2[[#This Row],[concatenationcolumn]],IF(Query2[[#This Row],[ranking]]=D631+1,Query2[[#This Row],[concatenationcolumn]],_xlfn.CONCAT(Query2[[#This Row],[wh]],"-",Query2[[#This Row],[Column1]])))</f>
        <v>#VALUE!</v>
      </c>
    </row>
    <row r="635" spans="1:1" x14ac:dyDescent="0.3">
      <c r="A635" t="e">
        <f>IF(Query2[[#This Row],[ranking]]=1,Query2[[#This Row],[concatenationcolumn]],IF(Query2[[#This Row],[ranking]]=D632+1,Query2[[#This Row],[concatenationcolumn]],_xlfn.CONCAT(Query2[[#This Row],[wh]],"-",Query2[[#This Row],[Column1]])))</f>
        <v>#VALUE!</v>
      </c>
    </row>
    <row r="636" spans="1:1" x14ac:dyDescent="0.3">
      <c r="A636" t="e">
        <f>IF(Query2[[#This Row],[ranking]]=1,Query2[[#This Row],[concatenationcolumn]],IF(Query2[[#This Row],[ranking]]=D633+1,Query2[[#This Row],[concatenationcolumn]],_xlfn.CONCAT(Query2[[#This Row],[wh]],"-",Query2[[#This Row],[Column1]])))</f>
        <v>#VALUE!</v>
      </c>
    </row>
    <row r="637" spans="1:1" x14ac:dyDescent="0.3">
      <c r="A637" t="e">
        <f>IF(Query2[[#This Row],[ranking]]=1,Query2[[#This Row],[concatenationcolumn]],IF(Query2[[#This Row],[ranking]]=D634+1,Query2[[#This Row],[concatenationcolumn]],_xlfn.CONCAT(Query2[[#This Row],[wh]],"-",Query2[[#This Row],[Column1]])))</f>
        <v>#VALUE!</v>
      </c>
    </row>
    <row r="638" spans="1:1" x14ac:dyDescent="0.3">
      <c r="A638" t="e">
        <f>IF(Query2[[#This Row],[ranking]]=1,Query2[[#This Row],[concatenationcolumn]],IF(Query2[[#This Row],[ranking]]=D635+1,Query2[[#This Row],[concatenationcolumn]],_xlfn.CONCAT(Query2[[#This Row],[wh]],"-",Query2[[#This Row],[Column1]])))</f>
        <v>#VALUE!</v>
      </c>
    </row>
    <row r="639" spans="1:1" x14ac:dyDescent="0.3">
      <c r="A639" t="e">
        <f>IF(Query2[[#This Row],[ranking]]=1,Query2[[#This Row],[concatenationcolumn]],IF(Query2[[#This Row],[ranking]]=D636+1,Query2[[#This Row],[concatenationcolumn]],_xlfn.CONCAT(Query2[[#This Row],[wh]],"-",Query2[[#This Row],[Column1]])))</f>
        <v>#VALUE!</v>
      </c>
    </row>
    <row r="640" spans="1:1" x14ac:dyDescent="0.3">
      <c r="A640" t="e">
        <f>IF(Query2[[#This Row],[ranking]]=1,Query2[[#This Row],[concatenationcolumn]],IF(Query2[[#This Row],[ranking]]=D637+1,Query2[[#This Row],[concatenationcolumn]],_xlfn.CONCAT(Query2[[#This Row],[wh]],"-",Query2[[#This Row],[Column1]])))</f>
        <v>#VALUE!</v>
      </c>
    </row>
    <row r="641" spans="1:1" x14ac:dyDescent="0.3">
      <c r="A641" t="e">
        <f>IF(Query2[[#This Row],[ranking]]=1,Query2[[#This Row],[concatenationcolumn]],IF(Query2[[#This Row],[ranking]]=D638+1,Query2[[#This Row],[concatenationcolumn]],_xlfn.CONCAT(Query2[[#This Row],[wh]],"-",Query2[[#This Row],[Column1]])))</f>
        <v>#VALUE!</v>
      </c>
    </row>
    <row r="642" spans="1:1" x14ac:dyDescent="0.3">
      <c r="A642" t="e">
        <f>IF(Query2[[#This Row],[ranking]]=1,Query2[[#This Row],[concatenationcolumn]],IF(Query2[[#This Row],[ranking]]=D639+1,Query2[[#This Row],[concatenationcolumn]],_xlfn.CONCAT(Query2[[#This Row],[wh]],"-",Query2[[#This Row],[Column1]])))</f>
        <v>#VALUE!</v>
      </c>
    </row>
    <row r="643" spans="1:1" x14ac:dyDescent="0.3">
      <c r="A643" t="e">
        <f>IF(Query2[[#This Row],[ranking]]=1,Query2[[#This Row],[concatenationcolumn]],IF(Query2[[#This Row],[ranking]]=D640+1,Query2[[#This Row],[concatenationcolumn]],_xlfn.CONCAT(Query2[[#This Row],[wh]],"-",Query2[[#This Row],[Column1]])))</f>
        <v>#VALUE!</v>
      </c>
    </row>
    <row r="644" spans="1:1" x14ac:dyDescent="0.3">
      <c r="A644" t="e">
        <f>IF(Query2[[#This Row],[ranking]]=1,Query2[[#This Row],[concatenationcolumn]],IF(Query2[[#This Row],[ranking]]=D641+1,Query2[[#This Row],[concatenationcolumn]],_xlfn.CONCAT(Query2[[#This Row],[wh]],"-",Query2[[#This Row],[Column1]])))</f>
        <v>#VALUE!</v>
      </c>
    </row>
    <row r="645" spans="1:1" x14ac:dyDescent="0.3">
      <c r="A645" t="e">
        <f>IF(Query2[[#This Row],[ranking]]=1,Query2[[#This Row],[concatenationcolumn]],IF(Query2[[#This Row],[ranking]]=D642+1,Query2[[#This Row],[concatenationcolumn]],_xlfn.CONCAT(Query2[[#This Row],[wh]],"-",Query2[[#This Row],[Column1]])))</f>
        <v>#VALUE!</v>
      </c>
    </row>
    <row r="646" spans="1:1" x14ac:dyDescent="0.3">
      <c r="A646" t="e">
        <f>IF(Query2[[#This Row],[ranking]]=1,Query2[[#This Row],[concatenationcolumn]],IF(Query2[[#This Row],[ranking]]=D643+1,Query2[[#This Row],[concatenationcolumn]],_xlfn.CONCAT(Query2[[#This Row],[wh]],"-",Query2[[#This Row],[Column1]])))</f>
        <v>#VALUE!</v>
      </c>
    </row>
    <row r="647" spans="1:1" x14ac:dyDescent="0.3">
      <c r="A647" t="e">
        <f>IF(Query2[[#This Row],[ranking]]=1,Query2[[#This Row],[concatenationcolumn]],IF(Query2[[#This Row],[ranking]]=D644+1,Query2[[#This Row],[concatenationcolumn]],_xlfn.CONCAT(Query2[[#This Row],[wh]],"-",Query2[[#This Row],[Column1]])))</f>
        <v>#VALUE!</v>
      </c>
    </row>
    <row r="648" spans="1:1" x14ac:dyDescent="0.3">
      <c r="A648" t="e">
        <f>IF(Query2[[#This Row],[ranking]]=1,Query2[[#This Row],[concatenationcolumn]],IF(Query2[[#This Row],[ranking]]=D645+1,Query2[[#This Row],[concatenationcolumn]],_xlfn.CONCAT(Query2[[#This Row],[wh]],"-",Query2[[#This Row],[Column1]])))</f>
        <v>#VALUE!</v>
      </c>
    </row>
    <row r="649" spans="1:1" x14ac:dyDescent="0.3">
      <c r="A649" t="e">
        <f>IF(Query2[[#This Row],[ranking]]=1,Query2[[#This Row],[concatenationcolumn]],IF(Query2[[#This Row],[ranking]]=D646+1,Query2[[#This Row],[concatenationcolumn]],_xlfn.CONCAT(Query2[[#This Row],[wh]],"-",Query2[[#This Row],[Column1]])))</f>
        <v>#VALUE!</v>
      </c>
    </row>
    <row r="650" spans="1:1" x14ac:dyDescent="0.3">
      <c r="A650" t="e">
        <f>IF(Query2[[#This Row],[ranking]]=1,Query2[[#This Row],[concatenationcolumn]],IF(Query2[[#This Row],[ranking]]=D647+1,Query2[[#This Row],[concatenationcolumn]],_xlfn.CONCAT(Query2[[#This Row],[wh]],"-",Query2[[#This Row],[Column1]])))</f>
        <v>#VALUE!</v>
      </c>
    </row>
    <row r="651" spans="1:1" x14ac:dyDescent="0.3">
      <c r="A651" t="e">
        <f>IF(Query2[[#This Row],[ranking]]=1,Query2[[#This Row],[concatenationcolumn]],IF(Query2[[#This Row],[ranking]]=D648+1,Query2[[#This Row],[concatenationcolumn]],_xlfn.CONCAT(Query2[[#This Row],[wh]],"-",Query2[[#This Row],[Column1]])))</f>
        <v>#VALUE!</v>
      </c>
    </row>
    <row r="652" spans="1:1" x14ac:dyDescent="0.3">
      <c r="A652" t="e">
        <f>IF(Query2[[#This Row],[ranking]]=1,Query2[[#This Row],[concatenationcolumn]],IF(Query2[[#This Row],[ranking]]=D649+1,Query2[[#This Row],[concatenationcolumn]],_xlfn.CONCAT(Query2[[#This Row],[wh]],"-",Query2[[#This Row],[Column1]])))</f>
        <v>#VALUE!</v>
      </c>
    </row>
    <row r="653" spans="1:1" x14ac:dyDescent="0.3">
      <c r="A653" t="e">
        <f>IF(Query2[[#This Row],[ranking]]=1,Query2[[#This Row],[concatenationcolumn]],IF(Query2[[#This Row],[ranking]]=D650+1,Query2[[#This Row],[concatenationcolumn]],_xlfn.CONCAT(Query2[[#This Row],[wh]],"-",Query2[[#This Row],[Column1]])))</f>
        <v>#VALUE!</v>
      </c>
    </row>
    <row r="654" spans="1:1" x14ac:dyDescent="0.3">
      <c r="A654" t="e">
        <f>IF(Query2[[#This Row],[ranking]]=1,Query2[[#This Row],[concatenationcolumn]],IF(Query2[[#This Row],[ranking]]=D651+1,Query2[[#This Row],[concatenationcolumn]],_xlfn.CONCAT(Query2[[#This Row],[wh]],"-",Query2[[#This Row],[Column1]])))</f>
        <v>#VALUE!</v>
      </c>
    </row>
    <row r="655" spans="1:1" x14ac:dyDescent="0.3">
      <c r="A655" t="e">
        <f>IF(Query2[[#This Row],[ranking]]=1,Query2[[#This Row],[concatenationcolumn]],IF(Query2[[#This Row],[ranking]]=D652+1,Query2[[#This Row],[concatenationcolumn]],_xlfn.CONCAT(Query2[[#This Row],[wh]],"-",Query2[[#This Row],[Column1]])))</f>
        <v>#VALUE!</v>
      </c>
    </row>
    <row r="656" spans="1:1" x14ac:dyDescent="0.3">
      <c r="A656" t="e">
        <f>IF(Query2[[#This Row],[ranking]]=1,Query2[[#This Row],[concatenationcolumn]],IF(Query2[[#This Row],[ranking]]=D653+1,Query2[[#This Row],[concatenationcolumn]],_xlfn.CONCAT(Query2[[#This Row],[wh]],"-",Query2[[#This Row],[Column1]])))</f>
        <v>#VALUE!</v>
      </c>
    </row>
    <row r="657" spans="1:1" x14ac:dyDescent="0.3">
      <c r="A657" t="e">
        <f>IF(Query2[[#This Row],[ranking]]=1,Query2[[#This Row],[concatenationcolumn]],IF(Query2[[#This Row],[ranking]]=D654+1,Query2[[#This Row],[concatenationcolumn]],_xlfn.CONCAT(Query2[[#This Row],[wh]],"-",Query2[[#This Row],[Column1]])))</f>
        <v>#VALUE!</v>
      </c>
    </row>
    <row r="658" spans="1:1" x14ac:dyDescent="0.3">
      <c r="A658" t="e">
        <f>IF(Query2[[#This Row],[ranking]]=1,Query2[[#This Row],[concatenationcolumn]],IF(Query2[[#This Row],[ranking]]=D655+1,Query2[[#This Row],[concatenationcolumn]],_xlfn.CONCAT(Query2[[#This Row],[wh]],"-",Query2[[#This Row],[Column1]])))</f>
        <v>#VALUE!</v>
      </c>
    </row>
    <row r="659" spans="1:1" x14ac:dyDescent="0.3">
      <c r="A659" t="e">
        <f>IF(Query2[[#This Row],[ranking]]=1,Query2[[#This Row],[concatenationcolumn]],IF(Query2[[#This Row],[ranking]]=D656+1,Query2[[#This Row],[concatenationcolumn]],_xlfn.CONCAT(Query2[[#This Row],[wh]],"-",Query2[[#This Row],[Column1]])))</f>
        <v>#VALUE!</v>
      </c>
    </row>
    <row r="660" spans="1:1" x14ac:dyDescent="0.3">
      <c r="A660" t="e">
        <f>IF(Query2[[#This Row],[ranking]]=1,Query2[[#This Row],[concatenationcolumn]],IF(Query2[[#This Row],[ranking]]=D657+1,Query2[[#This Row],[concatenationcolumn]],_xlfn.CONCAT(Query2[[#This Row],[wh]],"-",Query2[[#This Row],[Column1]])))</f>
        <v>#VALUE!</v>
      </c>
    </row>
    <row r="661" spans="1:1" x14ac:dyDescent="0.3">
      <c r="A661" t="e">
        <f>IF(Query2[[#This Row],[ranking]]=1,Query2[[#This Row],[concatenationcolumn]],IF(Query2[[#This Row],[ranking]]=D658+1,Query2[[#This Row],[concatenationcolumn]],_xlfn.CONCAT(Query2[[#This Row],[wh]],"-",Query2[[#This Row],[Column1]])))</f>
        <v>#VALUE!</v>
      </c>
    </row>
    <row r="662" spans="1:1" x14ac:dyDescent="0.3">
      <c r="A662" t="e">
        <f>IF(Query2[[#This Row],[ranking]]=1,Query2[[#This Row],[concatenationcolumn]],IF(Query2[[#This Row],[ranking]]=D659+1,Query2[[#This Row],[concatenationcolumn]],_xlfn.CONCAT(Query2[[#This Row],[wh]],"-",Query2[[#This Row],[Column1]])))</f>
        <v>#VALUE!</v>
      </c>
    </row>
    <row r="663" spans="1:1" x14ac:dyDescent="0.3">
      <c r="A663" t="e">
        <f>IF(Query2[[#This Row],[ranking]]=1,Query2[[#This Row],[concatenationcolumn]],IF(Query2[[#This Row],[ranking]]=D660+1,Query2[[#This Row],[concatenationcolumn]],_xlfn.CONCAT(Query2[[#This Row],[wh]],"-",Query2[[#This Row],[Column1]])))</f>
        <v>#VALUE!</v>
      </c>
    </row>
    <row r="664" spans="1:1" x14ac:dyDescent="0.3">
      <c r="A664" t="e">
        <f>IF(Query2[[#This Row],[ranking]]=1,Query2[[#This Row],[concatenationcolumn]],IF(Query2[[#This Row],[ranking]]=D661+1,Query2[[#This Row],[concatenationcolumn]],_xlfn.CONCAT(Query2[[#This Row],[wh]],"-",Query2[[#This Row],[Column1]])))</f>
        <v>#VALUE!</v>
      </c>
    </row>
    <row r="665" spans="1:1" x14ac:dyDescent="0.3">
      <c r="A665" t="e">
        <f>IF(Query2[[#This Row],[ranking]]=1,Query2[[#This Row],[concatenationcolumn]],IF(Query2[[#This Row],[ranking]]=D662+1,Query2[[#This Row],[concatenationcolumn]],_xlfn.CONCAT(Query2[[#This Row],[wh]],"-",Query2[[#This Row],[Column1]])))</f>
        <v>#VALUE!</v>
      </c>
    </row>
    <row r="666" spans="1:1" x14ac:dyDescent="0.3">
      <c r="A666" t="e">
        <f>IF(Query2[[#This Row],[ranking]]=1,Query2[[#This Row],[concatenationcolumn]],IF(Query2[[#This Row],[ranking]]=D663+1,Query2[[#This Row],[concatenationcolumn]],_xlfn.CONCAT(Query2[[#This Row],[wh]],"-",Query2[[#This Row],[Column1]])))</f>
        <v>#VALUE!</v>
      </c>
    </row>
    <row r="667" spans="1:1" x14ac:dyDescent="0.3">
      <c r="A667" t="e">
        <f>IF(Query2[[#This Row],[ranking]]=1,Query2[[#This Row],[concatenationcolumn]],IF(Query2[[#This Row],[ranking]]=D664+1,Query2[[#This Row],[concatenationcolumn]],_xlfn.CONCAT(Query2[[#This Row],[wh]],"-",Query2[[#This Row],[Column1]])))</f>
        <v>#VALUE!</v>
      </c>
    </row>
    <row r="668" spans="1:1" x14ac:dyDescent="0.3">
      <c r="A668" t="e">
        <f>IF(Query2[[#This Row],[ranking]]=1,Query2[[#This Row],[concatenationcolumn]],IF(Query2[[#This Row],[ranking]]=D665+1,Query2[[#This Row],[concatenationcolumn]],_xlfn.CONCAT(Query2[[#This Row],[wh]],"-",Query2[[#This Row],[Column1]])))</f>
        <v>#VALUE!</v>
      </c>
    </row>
    <row r="669" spans="1:1" x14ac:dyDescent="0.3">
      <c r="A669" t="e">
        <f>IF(Query2[[#This Row],[ranking]]=1,Query2[[#This Row],[concatenationcolumn]],IF(Query2[[#This Row],[ranking]]=D666+1,Query2[[#This Row],[concatenationcolumn]],_xlfn.CONCAT(Query2[[#This Row],[wh]],"-",Query2[[#This Row],[Column1]])))</f>
        <v>#VALUE!</v>
      </c>
    </row>
    <row r="670" spans="1:1" x14ac:dyDescent="0.3">
      <c r="A670" t="e">
        <f>IF(Query2[[#This Row],[ranking]]=1,Query2[[#This Row],[concatenationcolumn]],IF(Query2[[#This Row],[ranking]]=D667+1,Query2[[#This Row],[concatenationcolumn]],_xlfn.CONCAT(Query2[[#This Row],[wh]],"-",Query2[[#This Row],[Column1]])))</f>
        <v>#VALUE!</v>
      </c>
    </row>
    <row r="671" spans="1:1" x14ac:dyDescent="0.3">
      <c r="A671" t="e">
        <f>IF(Query2[[#This Row],[ranking]]=1,Query2[[#This Row],[concatenationcolumn]],IF(Query2[[#This Row],[ranking]]=D668+1,Query2[[#This Row],[concatenationcolumn]],_xlfn.CONCAT(Query2[[#This Row],[wh]],"-",Query2[[#This Row],[Column1]])))</f>
        <v>#VALUE!</v>
      </c>
    </row>
    <row r="672" spans="1:1" x14ac:dyDescent="0.3">
      <c r="A672" t="e">
        <f>IF(Query2[[#This Row],[ranking]]=1,Query2[[#This Row],[concatenationcolumn]],IF(Query2[[#This Row],[ranking]]=D669+1,Query2[[#This Row],[concatenationcolumn]],_xlfn.CONCAT(Query2[[#This Row],[wh]],"-",Query2[[#This Row],[Column1]])))</f>
        <v>#VALUE!</v>
      </c>
    </row>
    <row r="673" spans="1:1" x14ac:dyDescent="0.3">
      <c r="A673" t="e">
        <f>IF(Query2[[#This Row],[ranking]]=1,Query2[[#This Row],[concatenationcolumn]],IF(Query2[[#This Row],[ranking]]=D670+1,Query2[[#This Row],[concatenationcolumn]],_xlfn.CONCAT(Query2[[#This Row],[wh]],"-",Query2[[#This Row],[Column1]])))</f>
        <v>#VALUE!</v>
      </c>
    </row>
    <row r="674" spans="1:1" x14ac:dyDescent="0.3">
      <c r="A674" t="e">
        <f>IF(Query2[[#This Row],[ranking]]=1,Query2[[#This Row],[concatenationcolumn]],IF(Query2[[#This Row],[ranking]]=D671+1,Query2[[#This Row],[concatenationcolumn]],_xlfn.CONCAT(Query2[[#This Row],[wh]],"-",Query2[[#This Row],[Column1]])))</f>
        <v>#VALUE!</v>
      </c>
    </row>
    <row r="675" spans="1:1" x14ac:dyDescent="0.3">
      <c r="A675" t="e">
        <f>IF(Query2[[#This Row],[ranking]]=1,Query2[[#This Row],[concatenationcolumn]],IF(Query2[[#This Row],[ranking]]=D672+1,Query2[[#This Row],[concatenationcolumn]],_xlfn.CONCAT(Query2[[#This Row],[wh]],"-",Query2[[#This Row],[Column1]])))</f>
        <v>#VALUE!</v>
      </c>
    </row>
    <row r="676" spans="1:1" x14ac:dyDescent="0.3">
      <c r="A676" t="e">
        <f>IF(Query2[[#This Row],[ranking]]=1,Query2[[#This Row],[concatenationcolumn]],IF(Query2[[#This Row],[ranking]]=D673+1,Query2[[#This Row],[concatenationcolumn]],_xlfn.CONCAT(Query2[[#This Row],[wh]],"-",Query2[[#This Row],[Column1]])))</f>
        <v>#VALUE!</v>
      </c>
    </row>
    <row r="677" spans="1:1" x14ac:dyDescent="0.3">
      <c r="A677" t="e">
        <f>IF(Query2[[#This Row],[ranking]]=1,Query2[[#This Row],[concatenationcolumn]],IF(Query2[[#This Row],[ranking]]=D674+1,Query2[[#This Row],[concatenationcolumn]],_xlfn.CONCAT(Query2[[#This Row],[wh]],"-",Query2[[#This Row],[Column1]])))</f>
        <v>#VALUE!</v>
      </c>
    </row>
    <row r="678" spans="1:1" x14ac:dyDescent="0.3">
      <c r="A678" t="e">
        <f>IF(Query2[[#This Row],[ranking]]=1,Query2[[#This Row],[concatenationcolumn]],IF(Query2[[#This Row],[ranking]]=D675+1,Query2[[#This Row],[concatenationcolumn]],_xlfn.CONCAT(Query2[[#This Row],[wh]],"-",Query2[[#This Row],[Column1]])))</f>
        <v>#VALUE!</v>
      </c>
    </row>
    <row r="679" spans="1:1" x14ac:dyDescent="0.3">
      <c r="A679" t="e">
        <f>IF(Query2[[#This Row],[ranking]]=1,Query2[[#This Row],[concatenationcolumn]],IF(Query2[[#This Row],[ranking]]=D676+1,Query2[[#This Row],[concatenationcolumn]],_xlfn.CONCAT(Query2[[#This Row],[wh]],"-",Query2[[#This Row],[Column1]])))</f>
        <v>#VALUE!</v>
      </c>
    </row>
    <row r="680" spans="1:1" x14ac:dyDescent="0.3">
      <c r="A680" t="e">
        <f>IF(Query2[[#This Row],[ranking]]=1,Query2[[#This Row],[concatenationcolumn]],IF(Query2[[#This Row],[ranking]]=D677+1,Query2[[#This Row],[concatenationcolumn]],_xlfn.CONCAT(Query2[[#This Row],[wh]],"-",Query2[[#This Row],[Column1]])))</f>
        <v>#VALUE!</v>
      </c>
    </row>
    <row r="681" spans="1:1" x14ac:dyDescent="0.3">
      <c r="A681" t="e">
        <f>IF(Query2[[#This Row],[ranking]]=1,Query2[[#This Row],[concatenationcolumn]],IF(Query2[[#This Row],[ranking]]=D678+1,Query2[[#This Row],[concatenationcolumn]],_xlfn.CONCAT(Query2[[#This Row],[wh]],"-",Query2[[#This Row],[Column1]])))</f>
        <v>#VALUE!</v>
      </c>
    </row>
    <row r="682" spans="1:1" x14ac:dyDescent="0.3">
      <c r="A682" t="e">
        <f>IF(Query2[[#This Row],[ranking]]=1,Query2[[#This Row],[concatenationcolumn]],IF(Query2[[#This Row],[ranking]]=D679+1,Query2[[#This Row],[concatenationcolumn]],_xlfn.CONCAT(Query2[[#This Row],[wh]],"-",Query2[[#This Row],[Column1]])))</f>
        <v>#VALUE!</v>
      </c>
    </row>
    <row r="683" spans="1:1" x14ac:dyDescent="0.3">
      <c r="A683" t="e">
        <f>IF(Query2[[#This Row],[ranking]]=1,Query2[[#This Row],[concatenationcolumn]],IF(Query2[[#This Row],[ranking]]=D680+1,Query2[[#This Row],[concatenationcolumn]],_xlfn.CONCAT(Query2[[#This Row],[wh]],"-",Query2[[#This Row],[Column1]])))</f>
        <v>#VALUE!</v>
      </c>
    </row>
    <row r="684" spans="1:1" x14ac:dyDescent="0.3">
      <c r="A684" t="e">
        <f>IF(Query2[[#This Row],[ranking]]=1,Query2[[#This Row],[concatenationcolumn]],IF(Query2[[#This Row],[ranking]]=D681+1,Query2[[#This Row],[concatenationcolumn]],_xlfn.CONCAT(Query2[[#This Row],[wh]],"-",Query2[[#This Row],[Column1]])))</f>
        <v>#VALUE!</v>
      </c>
    </row>
    <row r="685" spans="1:1" x14ac:dyDescent="0.3">
      <c r="A685" t="e">
        <f>IF(Query2[[#This Row],[ranking]]=1,Query2[[#This Row],[concatenationcolumn]],IF(Query2[[#This Row],[ranking]]=D682+1,Query2[[#This Row],[concatenationcolumn]],_xlfn.CONCAT(Query2[[#This Row],[wh]],"-",Query2[[#This Row],[Column1]])))</f>
        <v>#VALUE!</v>
      </c>
    </row>
    <row r="686" spans="1:1" x14ac:dyDescent="0.3">
      <c r="A686" t="e">
        <f>IF(Query2[[#This Row],[ranking]]=1,Query2[[#This Row],[concatenationcolumn]],IF(Query2[[#This Row],[ranking]]=D683+1,Query2[[#This Row],[concatenationcolumn]],_xlfn.CONCAT(Query2[[#This Row],[wh]],"-",Query2[[#This Row],[Column1]])))</f>
        <v>#VALUE!</v>
      </c>
    </row>
    <row r="687" spans="1:1" x14ac:dyDescent="0.3">
      <c r="A687" t="e">
        <f>IF(Query2[[#This Row],[ranking]]=1,Query2[[#This Row],[concatenationcolumn]],IF(Query2[[#This Row],[ranking]]=D684+1,Query2[[#This Row],[concatenationcolumn]],_xlfn.CONCAT(Query2[[#This Row],[wh]],"-",Query2[[#This Row],[Column1]])))</f>
        <v>#VALUE!</v>
      </c>
    </row>
    <row r="688" spans="1:1" x14ac:dyDescent="0.3">
      <c r="A688" t="e">
        <f>IF(Query2[[#This Row],[ranking]]=1,Query2[[#This Row],[concatenationcolumn]],IF(Query2[[#This Row],[ranking]]=D685+1,Query2[[#This Row],[concatenationcolumn]],_xlfn.CONCAT(Query2[[#This Row],[wh]],"-",Query2[[#This Row],[Column1]])))</f>
        <v>#VALUE!</v>
      </c>
    </row>
    <row r="689" spans="1:1" x14ac:dyDescent="0.3">
      <c r="A689" t="e">
        <f>IF(Query2[[#This Row],[ranking]]=1,Query2[[#This Row],[concatenationcolumn]],IF(Query2[[#This Row],[ranking]]=D686+1,Query2[[#This Row],[concatenationcolumn]],_xlfn.CONCAT(Query2[[#This Row],[wh]],"-",Query2[[#This Row],[Column1]])))</f>
        <v>#VALUE!</v>
      </c>
    </row>
    <row r="690" spans="1:1" x14ac:dyDescent="0.3">
      <c r="A690" t="e">
        <f>IF(Query2[[#This Row],[ranking]]=1,Query2[[#This Row],[concatenationcolumn]],IF(Query2[[#This Row],[ranking]]=D687+1,Query2[[#This Row],[concatenationcolumn]],_xlfn.CONCAT(Query2[[#This Row],[wh]],"-",Query2[[#This Row],[Column1]])))</f>
        <v>#VALUE!</v>
      </c>
    </row>
    <row r="691" spans="1:1" x14ac:dyDescent="0.3">
      <c r="A691" t="e">
        <f>IF(Query2[[#This Row],[ranking]]=1,Query2[[#This Row],[concatenationcolumn]],IF(Query2[[#This Row],[ranking]]=D688+1,Query2[[#This Row],[concatenationcolumn]],_xlfn.CONCAT(Query2[[#This Row],[wh]],"-",Query2[[#This Row],[Column1]])))</f>
        <v>#VALUE!</v>
      </c>
    </row>
    <row r="692" spans="1:1" x14ac:dyDescent="0.3">
      <c r="A692" t="e">
        <f>IF(Query2[[#This Row],[ranking]]=1,Query2[[#This Row],[concatenationcolumn]],IF(Query2[[#This Row],[ranking]]=D689+1,Query2[[#This Row],[concatenationcolumn]],_xlfn.CONCAT(Query2[[#This Row],[wh]],"-",Query2[[#This Row],[Column1]])))</f>
        <v>#VALUE!</v>
      </c>
    </row>
    <row r="693" spans="1:1" x14ac:dyDescent="0.3">
      <c r="A693" t="e">
        <f>IF(Query2[[#This Row],[ranking]]=1,Query2[[#This Row],[concatenationcolumn]],IF(Query2[[#This Row],[ranking]]=D690+1,Query2[[#This Row],[concatenationcolumn]],_xlfn.CONCAT(Query2[[#This Row],[wh]],"-",Query2[[#This Row],[Column1]])))</f>
        <v>#VALUE!</v>
      </c>
    </row>
    <row r="694" spans="1:1" x14ac:dyDescent="0.3">
      <c r="A694" t="e">
        <f>IF(Query2[[#This Row],[ranking]]=1,Query2[[#This Row],[concatenationcolumn]],IF(Query2[[#This Row],[ranking]]=D691+1,Query2[[#This Row],[concatenationcolumn]],_xlfn.CONCAT(Query2[[#This Row],[wh]],"-",Query2[[#This Row],[Column1]])))</f>
        <v>#VALUE!</v>
      </c>
    </row>
    <row r="695" spans="1:1" x14ac:dyDescent="0.3">
      <c r="A695" t="e">
        <f>IF(Query2[[#This Row],[ranking]]=1,Query2[[#This Row],[concatenationcolumn]],IF(Query2[[#This Row],[ranking]]=D692+1,Query2[[#This Row],[concatenationcolumn]],_xlfn.CONCAT(Query2[[#This Row],[wh]],"-",Query2[[#This Row],[Column1]])))</f>
        <v>#VALUE!</v>
      </c>
    </row>
    <row r="696" spans="1:1" x14ac:dyDescent="0.3">
      <c r="A696" t="e">
        <f>IF(Query2[[#This Row],[ranking]]=1,Query2[[#This Row],[concatenationcolumn]],IF(Query2[[#This Row],[ranking]]=D693+1,Query2[[#This Row],[concatenationcolumn]],_xlfn.CONCAT(Query2[[#This Row],[wh]],"-",Query2[[#This Row],[Column1]])))</f>
        <v>#VALUE!</v>
      </c>
    </row>
    <row r="697" spans="1:1" x14ac:dyDescent="0.3">
      <c r="A697" t="e">
        <f>IF(Query2[[#This Row],[ranking]]=1,Query2[[#This Row],[concatenationcolumn]],IF(Query2[[#This Row],[ranking]]=D694+1,Query2[[#This Row],[concatenationcolumn]],_xlfn.CONCAT(Query2[[#This Row],[wh]],"-",Query2[[#This Row],[Column1]])))</f>
        <v>#VALUE!</v>
      </c>
    </row>
    <row r="698" spans="1:1" x14ac:dyDescent="0.3">
      <c r="A698" t="e">
        <f>IF(Query2[[#This Row],[ranking]]=1,Query2[[#This Row],[concatenationcolumn]],IF(Query2[[#This Row],[ranking]]=D695+1,Query2[[#This Row],[concatenationcolumn]],_xlfn.CONCAT(Query2[[#This Row],[wh]],"-",Query2[[#This Row],[Column1]])))</f>
        <v>#VALUE!</v>
      </c>
    </row>
    <row r="699" spans="1:1" x14ac:dyDescent="0.3">
      <c r="A699" t="e">
        <f>IF(Query2[[#This Row],[ranking]]=1,Query2[[#This Row],[concatenationcolumn]],IF(Query2[[#This Row],[ranking]]=D696+1,Query2[[#This Row],[concatenationcolumn]],_xlfn.CONCAT(Query2[[#This Row],[wh]],"-",Query2[[#This Row],[Column1]])))</f>
        <v>#VALUE!</v>
      </c>
    </row>
    <row r="700" spans="1:1" x14ac:dyDescent="0.3">
      <c r="A700" t="e">
        <f>IF(Query2[[#This Row],[ranking]]=1,Query2[[#This Row],[concatenationcolumn]],IF(Query2[[#This Row],[ranking]]=D697+1,Query2[[#This Row],[concatenationcolumn]],_xlfn.CONCAT(Query2[[#This Row],[wh]],"-",Query2[[#This Row],[Column1]])))</f>
        <v>#VALUE!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796CE-88A6-4FC4-BDF6-68E05CDF5FCB}">
  <sheetPr codeName="Sheet4"/>
  <dimension ref="A1:A15"/>
  <sheetViews>
    <sheetView workbookViewId="0">
      <selection activeCell="A2" sqref="A2:A15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>
        <v>1</v>
      </c>
    </row>
    <row r="3" spans="1:1" x14ac:dyDescent="0.3">
      <c r="A3">
        <v>6</v>
      </c>
    </row>
    <row r="4" spans="1:1" x14ac:dyDescent="0.3">
      <c r="A4">
        <v>7</v>
      </c>
    </row>
    <row r="5" spans="1:1" x14ac:dyDescent="0.3">
      <c r="A5">
        <v>14</v>
      </c>
    </row>
    <row r="6" spans="1:1" x14ac:dyDescent="0.3">
      <c r="A6">
        <v>15</v>
      </c>
    </row>
    <row r="7" spans="1:1" x14ac:dyDescent="0.3">
      <c r="A7">
        <v>20</v>
      </c>
    </row>
    <row r="8" spans="1:1" x14ac:dyDescent="0.3">
      <c r="A8">
        <v>22</v>
      </c>
    </row>
    <row r="9" spans="1:1" x14ac:dyDescent="0.3">
      <c r="A9">
        <v>24</v>
      </c>
    </row>
    <row r="10" spans="1:1" x14ac:dyDescent="0.3">
      <c r="A10">
        <v>25</v>
      </c>
    </row>
    <row r="11" spans="1:1" x14ac:dyDescent="0.3">
      <c r="A11">
        <v>28</v>
      </c>
    </row>
    <row r="12" spans="1:1" x14ac:dyDescent="0.3">
      <c r="A12">
        <v>31</v>
      </c>
    </row>
    <row r="13" spans="1:1" x14ac:dyDescent="0.3">
      <c r="A13">
        <v>33</v>
      </c>
    </row>
    <row r="14" spans="1:1" x14ac:dyDescent="0.3">
      <c r="A14">
        <v>34</v>
      </c>
    </row>
    <row r="15" spans="1:1" x14ac:dyDescent="0.3">
      <c r="A15">
        <v>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F379C6B0E23846BA766B54DCBC5838" ma:contentTypeVersion="2" ma:contentTypeDescription="Create a new document." ma:contentTypeScope="" ma:versionID="66a1792796e767b2e289566abd9053cf">
  <xsd:schema xmlns:xsd="http://www.w3.org/2001/XMLSchema" xmlns:xs="http://www.w3.org/2001/XMLSchema" xmlns:p="http://schemas.microsoft.com/office/2006/metadata/properties" xmlns:ns3="a575fc05-d34c-4fe0-b6d6-f2c40a26cfca" targetNamespace="http://schemas.microsoft.com/office/2006/metadata/properties" ma:root="true" ma:fieldsID="98209c35075dc3ab50b764a618b4a057" ns3:_="">
    <xsd:import namespace="a575fc05-d34c-4fe0-b6d6-f2c40a26cf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75fc05-d34c-4fe0-b6d6-f2c40a26cf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94E5F-06A3-49B8-8D83-88FCB6958D58}">
  <ds:schemaRefs>
    <ds:schemaRef ds:uri="http://schemas.microsoft.com/office/2006/documentManagement/types"/>
    <ds:schemaRef ds:uri="http://purl.org/dc/terms/"/>
    <ds:schemaRef ds:uri="http://purl.org/dc/dcmitype/"/>
    <ds:schemaRef ds:uri="a575fc05-d34c-4fe0-b6d6-f2c40a26cfca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A90E8D7-04FA-4BCE-91B2-C31C6D4707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C544FF-2603-466E-9038-8750D03D831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6D7BCCC-6699-412B-99EB-3A27CD84B5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75fc05-d34c-4fe0-b6d6-f2c40a26cf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Executive</vt:lpstr>
      <vt:lpstr>Operations Priority</vt:lpstr>
      <vt:lpstr>Raw Data by WH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Tessa Milligan</dc:creator>
  <cp:lastModifiedBy>Brandon Tang</cp:lastModifiedBy>
  <dcterms:created xsi:type="dcterms:W3CDTF">2020-06-09T16:29:26Z</dcterms:created>
  <dcterms:modified xsi:type="dcterms:W3CDTF">2020-06-26T18:36:00Z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0x010100A5F379C6B0E23846BA766B54DCBC5838</vt:lpwstr>
  </property>
</Properties>
</file>